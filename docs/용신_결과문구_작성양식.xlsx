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성안내" sheetId="1" state="visible" r:id="rId1"/>
    <sheet name="A_용신선언" sheetId="2" state="visible" r:id="rId2"/>
    <sheet name="B_강약진단" sheetId="3" state="visible" r:id="rId3"/>
    <sheet name="C_조후보정" sheetId="4" state="visible" r:id="rId4"/>
    <sheet name="D_부적처방" sheetId="5" state="visible" r:id="rId5"/>
    <sheet name="E_용신설명" sheetId="6" state="visible" r:id="rId6"/>
    <sheet name="조합미리보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1D1813"/>
      <sz val="17"/>
    </font>
    <font>
      <name val="맑은 고딕"/>
      <color rgb="006B6255"/>
      <sz val="9"/>
    </font>
    <font>
      <name val="맑은 고딕"/>
      <b val="1"/>
      <color rgb="008A6F45"/>
      <sz val="12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A8352B"/>
      <sz val="10"/>
    </font>
    <font>
      <name val="맑은 고딕"/>
      <b val="1"/>
      <color rgb="001F5C3A"/>
      <sz val="10"/>
    </font>
    <font>
      <name val="맑은 고딕"/>
      <b val="1"/>
      <color rgb="001D1813"/>
      <sz val="15"/>
    </font>
    <font>
      <name val="맑은 고딕"/>
      <b val="1"/>
      <color rgb="00A8352B"/>
      <sz val="9"/>
    </font>
    <font>
      <name val="맑은 고딕"/>
      <i val="1"/>
      <color rgb="008A6F45"/>
      <sz val="10"/>
    </font>
    <font>
      <name val="맑은 고딕"/>
      <color rgb="00A8352B"/>
      <sz val="9"/>
    </font>
  </fonts>
  <fills count="5">
    <fill>
      <patternFill/>
    </fill>
    <fill>
      <patternFill patternType="gray125"/>
    </fill>
    <fill>
      <patternFill patternType="solid">
        <fgColor rgb="004A3823"/>
      </patternFill>
    </fill>
    <fill>
      <patternFill patternType="solid">
        <fgColor rgb="00F2EDE0"/>
      </patternFill>
    </fill>
    <fill>
      <patternFill patternType="solid">
        <fgColor rgb="00FFF9DB"/>
      </patternFill>
    </fill>
  </fills>
  <borders count="6">
    <border>
      <left/>
      <right/>
      <top/>
      <bottom/>
      <diagonal/>
    </border>
    <border>
      <left style="thin">
        <color rgb="00CBC1AA"/>
      </left>
      <right style="thin">
        <color rgb="00CBC1AA"/>
      </right>
      <top style="thin">
        <color rgb="00CBC1AA"/>
      </top>
      <bottom style="thin">
        <color rgb="00CBC1AA"/>
      </bottom>
    </border>
    <border>
      <left/>
      <right/>
      <top style="thin">
        <color rgb="00CBC1AA"/>
      </top>
      <bottom/>
      <diagonal/>
    </border>
    <border>
      <left/>
      <right style="thin">
        <color rgb="00CBC1AA"/>
      </right>
      <top style="thin">
        <color rgb="00CBC1AA"/>
      </top>
      <bottom/>
      <diagonal/>
    </border>
    <border>
      <left/>
      <right/>
      <top style="thin">
        <color rgb="00CBC1AA"/>
      </top>
      <bottom style="thin">
        <color rgb="00CBC1AA"/>
      </bottom>
      <diagonal/>
    </border>
    <border>
      <left/>
      <right style="thin">
        <color rgb="00CBC1AA"/>
      </right>
      <top style="thin">
        <color rgb="00CBC1AA"/>
      </top>
      <bottom style="thin">
        <color rgb="00CBC1A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개발</author>
  </authors>
  <commentList>
    <comment ref="D6" authorId="0" shapeId="0">
      <text>
        <t>화(火) 행은 작성 예시입니다. 형식만 참고하시고 내용은 새로 써주세요.
나머지 4행은 비어 있습니다.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0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부적집 · 용신 결과 문구 작성 양식</t>
        </is>
      </c>
    </row>
    <row r="2">
      <c r="A2" s="2" t="inlineStr">
        <is>
          <t>결과 화면에 나가는 모든 문구를 여기서 채웁니다. 개발은 이 파일 그대로 반영합니다.</t>
        </is>
      </c>
    </row>
    <row r="4">
      <c r="A4" s="3" t="inlineStr">
        <is>
          <t>1. 채워야 할 것</t>
        </is>
      </c>
    </row>
    <row r="5">
      <c r="A5" s="2" t="inlineStr">
        <is>
          <t>노란색 칸만 채우면 됩니다. 회색 칸은 참고용이니 건드리지 마세요.</t>
        </is>
      </c>
    </row>
    <row r="6">
      <c r="A6" s="4" t="inlineStr">
        <is>
          <t>시트</t>
        </is>
      </c>
      <c r="B6" s="4" t="inlineStr">
        <is>
          <t>개수</t>
        </is>
      </c>
      <c r="C6" s="4" t="inlineStr">
        <is>
          <t>내용</t>
        </is>
      </c>
      <c r="D6" s="5" t="n"/>
      <c r="E6" s="5" t="n"/>
      <c r="F6" s="5" t="n"/>
      <c r="G6" s="6" t="n"/>
    </row>
    <row r="7">
      <c r="A7" s="7" t="inlineStr">
        <is>
          <t>A_용신선언</t>
        </is>
      </c>
      <c r="B7" s="8" t="inlineStr">
        <is>
          <t>3개</t>
        </is>
      </c>
      <c r="C7" s="9" t="inlineStr">
        <is>
          <t>강약(신강/중화/신약)에 따라 용신을 선언하는 문장</t>
        </is>
      </c>
      <c r="D7" s="10" t="n"/>
      <c r="E7" s="10" t="n"/>
      <c r="F7" s="10" t="n"/>
      <c r="G7" s="10" t="n"/>
    </row>
    <row r="8">
      <c r="A8" s="7" t="inlineStr">
        <is>
          <t>B_강약진단</t>
        </is>
      </c>
      <c r="B8" s="8" t="inlineStr">
        <is>
          <t>3개</t>
        </is>
      </c>
      <c r="C8" s="9" t="inlineStr">
        <is>
          <t>사주의 기운이 어떤 상태인지 진단하는 첫 문장</t>
        </is>
      </c>
      <c r="D8" s="10" t="n"/>
      <c r="E8" s="10" t="n"/>
      <c r="F8" s="10" t="n"/>
      <c r="G8" s="10" t="n"/>
    </row>
    <row r="9">
      <c r="A9" s="7" t="inlineStr">
        <is>
          <t>C_조후보정</t>
        </is>
      </c>
      <c r="B9" s="8" t="inlineStr">
        <is>
          <t>2개</t>
        </is>
      </c>
      <c r="C9" s="9" t="inlineStr">
        <is>
          <t>사주가 춥거나 더울 때만 덧붙는 문장 (평범하면 생략됨)</t>
        </is>
      </c>
      <c r="D9" s="10" t="n"/>
      <c r="E9" s="10" t="n"/>
      <c r="F9" s="10" t="n"/>
      <c r="G9" s="10" t="n"/>
    </row>
    <row r="10">
      <c r="A10" s="7" t="inlineStr">
        <is>
          <t>D_부적처방</t>
        </is>
      </c>
      <c r="B10" s="8" t="inlineStr">
        <is>
          <t>5개</t>
        </is>
      </c>
      <c r="C10" s="9" t="inlineStr">
        <is>
          <t>용신 오행별 부적 추천 멘트</t>
        </is>
      </c>
      <c r="D10" s="10" t="n"/>
      <c r="E10" s="10" t="n"/>
      <c r="F10" s="10" t="n"/>
      <c r="G10" s="10" t="n"/>
    </row>
    <row r="11">
      <c r="A11" s="7" t="inlineStr">
        <is>
          <t>E_용신설명</t>
        </is>
      </c>
      <c r="B11" s="8" t="inlineStr">
        <is>
          <t>5개</t>
        </is>
      </c>
      <c r="C11" s="9" t="inlineStr">
        <is>
          <t>★신규★ 용신 오행별 상세 설명 + 메타데이터</t>
        </is>
      </c>
      <c r="D11" s="10" t="n"/>
      <c r="E11" s="10" t="n"/>
      <c r="F11" s="10" t="n"/>
      <c r="G11" s="10" t="n"/>
    </row>
    <row r="12">
      <c r="A12" s="11" t="inlineStr">
        <is>
          <t>합계 18개</t>
        </is>
      </c>
    </row>
    <row r="14">
      <c r="A14" s="3" t="inlineStr">
        <is>
          <t>2. 문장 안에서 쓸 수 있는 변수</t>
        </is>
      </c>
    </row>
    <row r="15">
      <c r="A15" s="2" t="inlineStr">
        <is>
          <t>아래 표기를 넣으면 사람마다 알맞은 오행 이름으로 자동 치환됩니다.</t>
        </is>
      </c>
    </row>
    <row r="16">
      <c r="A16" s="12" t="inlineStr">
        <is>
          <t>{용신}</t>
        </is>
      </c>
      <c r="B16" s="13" t="inlineStr">
        <is>
          <t>그 사람에게 필요한 기운 (예: 불)</t>
        </is>
      </c>
    </row>
    <row r="17">
      <c r="A17" s="12" t="inlineStr">
        <is>
          <t>{희신}</t>
        </is>
      </c>
      <c r="B17" s="13" t="inlineStr">
        <is>
          <t>용신을 도와주는 기운 (예: 나무)</t>
        </is>
      </c>
    </row>
    <row r="18">
      <c r="A18" s="12" t="inlineStr">
        <is>
          <t>{기신}</t>
        </is>
      </c>
      <c r="B18" s="13" t="inlineStr">
        <is>
          <t>용신을 방해하는 기운 (예: 물)</t>
        </is>
      </c>
    </row>
    <row r="19">
      <c r="A19" s="2" t="inlineStr">
        <is>
          <t>예) "{기신}의 기운이 너무 강한 당신!"  →  "물의 기운이 너무 강한 당신!"</t>
        </is>
      </c>
    </row>
    <row r="21">
      <c r="A21" s="3" t="inlineStr">
        <is>
          <t>3. 문구가 조립되는 순서</t>
        </is>
      </c>
    </row>
    <row r="22">
      <c r="A22" s="2" t="inlineStr">
        <is>
          <t>네 블록이 이 순서로 이어 붙어 결과 화면에 나갑니다.</t>
        </is>
      </c>
    </row>
    <row r="23">
      <c r="A23" s="14" t="inlineStr">
        <is>
          <t>B (강약 진단)  →  A (용신 선언)  →  C (조후, 있을 때만)  →  D (부적 처방)</t>
        </is>
      </c>
    </row>
    <row r="24">
      <c r="A24" s="2" t="inlineStr">
        <is>
          <t>E (용신 설명)은 이 흐름과 별개로, 용신 한자 아래 영역에 들어갑니다.</t>
        </is>
      </c>
    </row>
    <row r="26">
      <c r="A26" s="3" t="inlineStr">
        <is>
          <t>4. 작성 시 지켜주세요</t>
        </is>
      </c>
    </row>
    <row r="27">
      <c r="A27" s="2" t="inlineStr">
        <is>
          <t>명세서 §11-4 체크리스트</t>
        </is>
      </c>
    </row>
    <row r="28">
      <c r="A28" s="15" t="inlineStr">
        <is>
          <t>① 블록끼리 자연스럽게 이어지도록 문장 끝맺음을 통일해주세요. (A는 "~예요.", B는 "~라서," 처럼)</t>
        </is>
      </c>
    </row>
    <row r="29">
      <c r="A29" s="15" t="inlineStr">
        <is>
          <t>② C(조후)는 안 나오는 사람도 많습니다. C 없이 B→A→D만 읽어도 말이 되게 써주세요.</t>
        </is>
      </c>
    </row>
    <row r="30">
      <c r="A30" s="15" t="inlineStr">
        <is>
          <t>③ A와 D는 둘 다 용신 기반이라 같은 말이 반복되기 쉽습니다. A는 진단, D는 처방으로 역할을 나눠주세요.</t>
        </is>
      </c>
    </row>
    <row r="31">
      <c r="A31" s="15" t="inlineStr">
        <is>
          <t>④ 18개 전체가 하나의 관점(유파)으로 통일되어야 합니다.</t>
        </is>
      </c>
    </row>
    <row r="32">
      <c r="A32" s="15" t="inlineStr">
        <is>
          <t>⑤ 조합미리보기 시트에서 45가지 실제 문장을 확인할 수 있습니다. 어색한 조합이 없는지 봐주세요.</t>
        </is>
      </c>
    </row>
    <row r="34">
      <c r="A34" s="3" t="inlineStr">
        <is>
          <t>5. 오행 참조표</t>
        </is>
      </c>
    </row>
    <row r="35">
      <c r="A35" s="2" t="inlineStr">
        <is>
          <t>용신이 정해지면 희신·기신은 자동으로 따라옵니다. (수정 불가)</t>
        </is>
      </c>
    </row>
    <row r="36">
      <c r="A36" s="4" t="inlineStr">
        <is>
          <t>오행</t>
        </is>
      </c>
      <c r="B36" s="4" t="inlineStr">
        <is>
          <t>한자</t>
        </is>
      </c>
      <c r="C36" s="4" t="inlineStr">
        <is>
          <t>구어 명칭</t>
        </is>
      </c>
      <c r="D36" s="4" t="inlineStr">
        <is>
          <t>희신(돕는 기운)</t>
        </is>
      </c>
      <c r="E36" s="4" t="inlineStr">
        <is>
          <t>기신(방해 기운)</t>
        </is>
      </c>
      <c r="F36" s="4" t="inlineStr">
        <is>
          <t>색</t>
        </is>
      </c>
      <c r="G36" s="4" t="inlineStr">
        <is>
          <t>방위</t>
        </is>
      </c>
      <c r="H36" s="4" t="inlineStr">
        <is>
          <t>계절</t>
        </is>
      </c>
    </row>
    <row r="37">
      <c r="A37" s="16" t="inlineStr">
        <is>
          <t>목</t>
        </is>
      </c>
      <c r="B37" s="16" t="inlineStr">
        <is>
          <t>木</t>
        </is>
      </c>
      <c r="C37" s="16" t="inlineStr">
        <is>
          <t>나무</t>
        </is>
      </c>
      <c r="D37" s="16" t="inlineStr">
        <is>
          <t>수</t>
        </is>
      </c>
      <c r="E37" s="16" t="inlineStr">
        <is>
          <t>금</t>
        </is>
      </c>
      <c r="F37" s="16" t="inlineStr">
        <is>
          <t>청(靑)</t>
        </is>
      </c>
      <c r="G37" s="16" t="inlineStr">
        <is>
          <t>동(東)</t>
        </is>
      </c>
      <c r="H37" s="16" t="inlineStr">
        <is>
          <t>봄</t>
        </is>
      </c>
    </row>
    <row r="38">
      <c r="A38" s="16" t="inlineStr">
        <is>
          <t>화</t>
        </is>
      </c>
      <c r="B38" s="16" t="inlineStr">
        <is>
          <t>火</t>
        </is>
      </c>
      <c r="C38" s="16" t="inlineStr">
        <is>
          <t>불</t>
        </is>
      </c>
      <c r="D38" s="16" t="inlineStr">
        <is>
          <t>목</t>
        </is>
      </c>
      <c r="E38" s="16" t="inlineStr">
        <is>
          <t>수</t>
        </is>
      </c>
      <c r="F38" s="16" t="inlineStr">
        <is>
          <t>적(赤)</t>
        </is>
      </c>
      <c r="G38" s="16" t="inlineStr">
        <is>
          <t>남(南)</t>
        </is>
      </c>
      <c r="H38" s="16" t="inlineStr">
        <is>
          <t>여름</t>
        </is>
      </c>
    </row>
    <row r="39">
      <c r="A39" s="16" t="inlineStr">
        <is>
          <t>토</t>
        </is>
      </c>
      <c r="B39" s="16" t="inlineStr">
        <is>
          <t>土</t>
        </is>
      </c>
      <c r="C39" s="16" t="inlineStr">
        <is>
          <t>땅</t>
        </is>
      </c>
      <c r="D39" s="16" t="inlineStr">
        <is>
          <t>화</t>
        </is>
      </c>
      <c r="E39" s="16" t="inlineStr">
        <is>
          <t>목</t>
        </is>
      </c>
      <c r="F39" s="16" t="inlineStr">
        <is>
          <t>황(黃)</t>
        </is>
      </c>
      <c r="G39" s="16" t="inlineStr">
        <is>
          <t>중앙</t>
        </is>
      </c>
      <c r="H39" s="16" t="inlineStr">
        <is>
          <t>환절기</t>
        </is>
      </c>
    </row>
    <row r="40">
      <c r="A40" s="16" t="inlineStr">
        <is>
          <t>금</t>
        </is>
      </c>
      <c r="B40" s="16" t="inlineStr">
        <is>
          <t>金</t>
        </is>
      </c>
      <c r="C40" s="16" t="inlineStr">
        <is>
          <t>쇠</t>
        </is>
      </c>
      <c r="D40" s="16" t="inlineStr">
        <is>
          <t>토</t>
        </is>
      </c>
      <c r="E40" s="16" t="inlineStr">
        <is>
          <t>화</t>
        </is>
      </c>
      <c r="F40" s="16" t="inlineStr">
        <is>
          <t>백(白)</t>
        </is>
      </c>
      <c r="G40" s="16" t="inlineStr">
        <is>
          <t>서(西)</t>
        </is>
      </c>
      <c r="H40" s="16" t="inlineStr">
        <is>
          <t>가을</t>
        </is>
      </c>
    </row>
    <row r="41">
      <c r="A41" s="16" t="inlineStr">
        <is>
          <t>수</t>
        </is>
      </c>
      <c r="B41" s="16" t="inlineStr">
        <is>
          <t>水</t>
        </is>
      </c>
      <c r="C41" s="16" t="inlineStr">
        <is>
          <t>물</t>
        </is>
      </c>
      <c r="D41" s="16" t="inlineStr">
        <is>
          <t>금</t>
        </is>
      </c>
      <c r="E41" s="16" t="inlineStr">
        <is>
          <t>토</t>
        </is>
      </c>
      <c r="F41" s="16" t="inlineStr">
        <is>
          <t>흑(黑)</t>
        </is>
      </c>
      <c r="G41" s="16" t="inlineStr">
        <is>
          <t>북(北)</t>
        </is>
      </c>
      <c r="H41" s="16" t="inlineStr">
        <is>
          <t>겨울</t>
        </is>
      </c>
    </row>
  </sheetData>
  <mergeCells count="17">
    <mergeCell ref="A32:G32"/>
    <mergeCell ref="B17:E17"/>
    <mergeCell ref="C7:G7"/>
    <mergeCell ref="B18:E18"/>
    <mergeCell ref="A19:G19"/>
    <mergeCell ref="C6:G6"/>
    <mergeCell ref="C10:G10"/>
    <mergeCell ref="A31:G31"/>
    <mergeCell ref="C11:G11"/>
    <mergeCell ref="B16:E16"/>
    <mergeCell ref="A24:G24"/>
    <mergeCell ref="A30:G30"/>
    <mergeCell ref="A29:G29"/>
    <mergeCell ref="C8:G8"/>
    <mergeCell ref="C9:G9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52" customWidth="1" min="4" max="4"/>
    <col width="22" customWidth="1" min="5" max="5"/>
  </cols>
  <sheetData>
    <row r="1">
      <c r="A1" s="17" t="inlineStr">
        <is>
          <t>A. 용신 선언</t>
        </is>
      </c>
    </row>
    <row r="2">
      <c r="A2" s="2" t="inlineStr">
        <is>
          <t>용신이 무엇인지 선언하는 문장입니다. 강약 상태에 따라 3가지로 갈립니다.</t>
        </is>
      </c>
    </row>
    <row r="3">
      <c r="A3" s="18" t="inlineStr">
        <is>
          <t>채울 칸: 3개 (노란색)</t>
        </is>
      </c>
    </row>
    <row r="5" ht="26" customHeight="1">
      <c r="A5" s="4" t="inlineStr">
        <is>
          <t>키(코드)</t>
        </is>
      </c>
      <c r="B5" s="4" t="inlineStr">
        <is>
          <t>언제 나오나</t>
        </is>
      </c>
      <c r="C5" s="4" t="inlineStr">
        <is>
          <t>현재 draft 문구 (개발용, 교체 대상)</t>
        </is>
      </c>
      <c r="D5" s="4" t="inlineStr">
        <is>
          <t>✏️ 새 문구 (여기에 작성)</t>
        </is>
      </c>
      <c r="E5" s="4" t="inlineStr">
        <is>
          <t>비고</t>
        </is>
      </c>
    </row>
    <row r="6" ht="46" customHeight="1">
      <c r="A6" s="19" t="inlineStr">
        <is>
          <t>strong</t>
        </is>
      </c>
      <c r="B6" s="20" t="inlineStr">
        <is>
          <t>기운이 강한 편일 때 (신강)</t>
        </is>
      </c>
      <c r="C6" s="21" t="inlineStr">
        <is>
          <t>{기신}의 기운을 잠재우고, 힘을 빼주는 요소가 당신의 용신이다. 엣헴!</t>
        </is>
      </c>
      <c r="D6" s="22" t="n"/>
      <c r="E6" s="23" t="n"/>
    </row>
    <row r="7" ht="46" customHeight="1">
      <c r="A7" s="19" t="inlineStr">
        <is>
          <t>mid</t>
        </is>
      </c>
      <c r="B7" s="20" t="inlineStr">
        <is>
          <t>기운이 균형잡혔을 때 (중화)</t>
        </is>
      </c>
      <c r="C7" s="21" t="inlineStr">
        <is>
          <t>모자란 구석을 살짝 채워주는 요소가 당신의 용신이다. 엣헴!</t>
        </is>
      </c>
      <c r="D7" s="22" t="n"/>
      <c r="E7" s="23" t="n"/>
    </row>
    <row r="8" ht="46" customHeight="1">
      <c r="A8" s="19" t="inlineStr">
        <is>
          <t>weak</t>
        </is>
      </c>
      <c r="B8" s="20" t="inlineStr">
        <is>
          <t>기운이 약한 편일 때 (신약)</t>
        </is>
      </c>
      <c r="C8" s="21" t="inlineStr">
        <is>
          <t>당신을 북돋아 일으켜주는 요소가 당신의 용신이다. 엣헴!</t>
        </is>
      </c>
      <c r="D8" s="22" t="n"/>
      <c r="E8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52" customWidth="1" min="4" max="4"/>
    <col width="22" customWidth="1" min="5" max="5"/>
  </cols>
  <sheetData>
    <row r="1">
      <c r="A1" s="17" t="inlineStr">
        <is>
          <t>B. 강약 진단</t>
        </is>
      </c>
    </row>
    <row r="2">
      <c r="A2" s="2" t="inlineStr">
        <is>
          <t>결과 화면 첫 문장입니다. 사주 기운이 어떤 상태인지 알려줍니다.</t>
        </is>
      </c>
    </row>
    <row r="3">
      <c r="A3" s="18" t="inlineStr">
        <is>
          <t>채울 칸: 3개 (노란색)</t>
        </is>
      </c>
    </row>
    <row r="5" ht="26" customHeight="1">
      <c r="A5" s="4" t="inlineStr">
        <is>
          <t>키(코드)</t>
        </is>
      </c>
      <c r="B5" s="4" t="inlineStr">
        <is>
          <t>언제 나오나</t>
        </is>
      </c>
      <c r="C5" s="4" t="inlineStr">
        <is>
          <t>현재 draft 문구 (개발용, 교체 대상)</t>
        </is>
      </c>
      <c r="D5" s="4" t="inlineStr">
        <is>
          <t>✏️ 새 문구 (여기에 작성)</t>
        </is>
      </c>
      <c r="E5" s="4" t="inlineStr">
        <is>
          <t>비고</t>
        </is>
      </c>
    </row>
    <row r="6" ht="46" customHeight="1">
      <c r="A6" s="19" t="inlineStr">
        <is>
          <t>strong</t>
        </is>
      </c>
      <c r="B6" s="20" t="inlineStr">
        <is>
          <t>기운이 강한 편일 때 (신강)</t>
        </is>
      </c>
      <c r="C6" s="21" t="inlineStr">
        <is>
          <t>뭔가 부족하다기보다는 {기신}의 기운이 너무나 강한 당신!</t>
        </is>
      </c>
      <c r="D6" s="22" t="n"/>
      <c r="E6" s="23" t="n"/>
    </row>
    <row r="7" ht="46" customHeight="1">
      <c r="A7" s="19" t="inlineStr">
        <is>
          <t>mid</t>
        </is>
      </c>
      <c r="B7" s="20" t="inlineStr">
        <is>
          <t>기운이 균형잡혔을 때 (중화)</t>
        </is>
      </c>
      <c r="C7" s="21" t="inlineStr">
        <is>
          <t>기운이 크게 치우치지 않아 팽팽하게 균형을 이루는 당신!</t>
        </is>
      </c>
      <c r="D7" s="22" t="n"/>
      <c r="E7" s="23" t="n"/>
    </row>
    <row r="8" ht="46" customHeight="1">
      <c r="A8" s="19" t="inlineStr">
        <is>
          <t>weak</t>
        </is>
      </c>
      <c r="B8" s="20" t="inlineStr">
        <is>
          <t>기운이 약한 편일 때 (신약)</t>
        </is>
      </c>
      <c r="C8" s="21" t="inlineStr">
        <is>
          <t>기운이 여려서 든든하게 받쳐줄 힘이 필요한 당신!</t>
        </is>
      </c>
      <c r="D8" s="22" t="n"/>
      <c r="E8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52" customWidth="1" min="4" max="4"/>
    <col width="22" customWidth="1" min="5" max="5"/>
  </cols>
  <sheetData>
    <row r="1">
      <c r="A1" s="17" t="inlineStr">
        <is>
          <t>C. 조후 보정 (조건부)</t>
        </is>
      </c>
    </row>
    <row r="2">
      <c r="A2" s="2" t="inlineStr">
        <is>
          <t>사주가 뚜렷하게 춥거나 더울 때만 덧붙습니다. 그렇지 않은 사람에겐 이 문장이 아예 안 나옵니다.</t>
        </is>
      </c>
    </row>
    <row r="3">
      <c r="A3" s="18" t="inlineStr">
        <is>
          <t>채울 칸: 2개 (노란색) · '평범(평)'인 사람은 이 블록이 생략되니 따로 쓸 필요 없습니다</t>
        </is>
      </c>
    </row>
    <row r="5" ht="26" customHeight="1">
      <c r="A5" s="4" t="inlineStr">
        <is>
          <t>키(코드)</t>
        </is>
      </c>
      <c r="B5" s="4" t="inlineStr">
        <is>
          <t>언제 나오나</t>
        </is>
      </c>
      <c r="C5" s="4" t="inlineStr">
        <is>
          <t>현재 draft 문구 (개발용, 교체 대상)</t>
        </is>
      </c>
      <c r="D5" s="4" t="inlineStr">
        <is>
          <t>✏️ 새 문구 (여기에 작성)</t>
        </is>
      </c>
      <c r="E5" s="4" t="inlineStr">
        <is>
          <t>비고</t>
        </is>
      </c>
    </row>
    <row r="6" ht="46" customHeight="1">
      <c r="A6" s="19" t="inlineStr">
        <is>
          <t>cold</t>
        </is>
      </c>
      <c r="B6" s="20" t="inlineStr">
        <is>
          <t>사주가 차가울 때 (한寒)</t>
        </is>
      </c>
      <c r="C6" s="21" t="inlineStr">
        <is>
          <t>게다가 사주가 차게 얼어 있어, 따뜻한 기운이 이 냉기를 녹여줘요.</t>
        </is>
      </c>
      <c r="D6" s="22" t="n"/>
      <c r="E6" s="23" t="n"/>
    </row>
    <row r="7" ht="46" customHeight="1">
      <c r="A7" s="19" t="inlineStr">
        <is>
          <t>hot</t>
        </is>
      </c>
      <c r="B7" s="20" t="inlineStr">
        <is>
          <t>사주가 뜨거울 때 (열熱)</t>
        </is>
      </c>
      <c r="C7" s="21" t="inlineStr">
        <is>
          <t>게다가 사주가 뜨겁게 달아 있어, 시원한 기운이 이 열기를 식혀줘요.</t>
        </is>
      </c>
      <c r="D7" s="22" t="n"/>
      <c r="E7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52" customWidth="1" min="4" max="4"/>
    <col width="22" customWidth="1" min="5" max="5"/>
  </cols>
  <sheetData>
    <row r="1">
      <c r="A1" s="17" t="inlineStr">
        <is>
          <t>D. 부적 처방</t>
        </is>
      </c>
    </row>
    <row r="2">
      <c r="A2" s="2" t="inlineStr">
        <is>
          <t>마지막 문장입니다. 용신 기운을 담은 부적을 권하는 멘트로, 용신 오행 5가지별로 씁니다.</t>
        </is>
      </c>
    </row>
    <row r="3">
      <c r="A3" s="18" t="inlineStr">
        <is>
          <t>채울 칸: 5개 (노란색)</t>
        </is>
      </c>
    </row>
    <row r="5" ht="26" customHeight="1">
      <c r="A5" s="4" t="inlineStr">
        <is>
          <t>키(코드)</t>
        </is>
      </c>
      <c r="B5" s="4" t="inlineStr">
        <is>
          <t>언제 나오나</t>
        </is>
      </c>
      <c r="C5" s="4" t="inlineStr">
        <is>
          <t>현재 draft 문구 (개발용, 교체 대상)</t>
        </is>
      </c>
      <c r="D5" s="4" t="inlineStr">
        <is>
          <t>✏️ 새 문구 (여기에 작성)</t>
        </is>
      </c>
      <c r="E5" s="4" t="inlineStr">
        <is>
          <t>비고</t>
        </is>
      </c>
    </row>
    <row r="6" ht="46" customHeight="1">
      <c r="A6" s="19" t="inlineStr">
        <is>
          <t>목 (木)</t>
        </is>
      </c>
      <c r="B6" s="20" t="inlineStr">
        <is>
          <t>용신이 나무일 때</t>
        </is>
      </c>
      <c r="C6" s="21" t="inlineStr">
        <is>
          <t>쭉쭉 뻗는 나무의 힘으로 숨통을 틔워보는거 어때?</t>
        </is>
      </c>
      <c r="D6" s="22" t="n"/>
      <c r="E6" s="23" t="n"/>
    </row>
    <row r="7" ht="46" customHeight="1">
      <c r="A7" s="19" t="inlineStr">
        <is>
          <t>화 (火)</t>
        </is>
      </c>
      <c r="B7" s="20" t="inlineStr">
        <is>
          <t>용신이 불일 때</t>
        </is>
      </c>
      <c r="C7" s="21" t="inlineStr">
        <is>
          <t>불의 힘으로 수마를 날려버리는거 어때?</t>
        </is>
      </c>
      <c r="D7" s="22" t="n"/>
      <c r="E7" s="23" t="n"/>
    </row>
    <row r="8" ht="46" customHeight="1">
      <c r="A8" s="19" t="inlineStr">
        <is>
          <t>토 (土)</t>
        </is>
      </c>
      <c r="B8" s="20" t="inlineStr">
        <is>
          <t>용신이 땅일 때</t>
        </is>
      </c>
      <c r="C8" s="21" t="inlineStr">
        <is>
          <t>든든한 땅의 힘으로 중심을 잡아보는거 어때?</t>
        </is>
      </c>
      <c r="D8" s="22" t="n"/>
      <c r="E8" s="23" t="n"/>
    </row>
    <row r="9" ht="46" customHeight="1">
      <c r="A9" s="19" t="inlineStr">
        <is>
          <t>금 (金)</t>
        </is>
      </c>
      <c r="B9" s="20" t="inlineStr">
        <is>
          <t>용신이 쇠일 때</t>
        </is>
      </c>
      <c r="C9" s="21" t="inlineStr">
        <is>
          <t>단단한 쇠의 힘으로 딱 끊어내는거 어때?</t>
        </is>
      </c>
      <c r="D9" s="22" t="n"/>
      <c r="E9" s="23" t="n"/>
    </row>
    <row r="10" ht="46" customHeight="1">
      <c r="A10" s="19" t="inlineStr">
        <is>
          <t>수 (水)</t>
        </is>
      </c>
      <c r="B10" s="20" t="inlineStr">
        <is>
          <t>용신이 물일 때</t>
        </is>
      </c>
      <c r="C10" s="21" t="inlineStr">
        <is>
          <t>흐르는 물의 힘으로 열기를 식혀보는거 어때?</t>
        </is>
      </c>
      <c r="D10" s="22" t="n"/>
      <c r="E10" s="2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30" customWidth="1" min="4" max="4"/>
    <col width="60" customWidth="1" min="5" max="5"/>
    <col width="26" customWidth="1" min="6" max="6"/>
    <col width="11" customWidth="1" min="7" max="7"/>
    <col width="10" customWidth="1" min="8" max="8"/>
    <col width="11" customWidth="1" min="9" max="9"/>
  </cols>
  <sheetData>
    <row r="1">
      <c r="A1" s="17" t="inlineStr">
        <is>
          <t>E. 용신 오행별 설명  ★신규 추가★</t>
        </is>
      </c>
    </row>
    <row r="2">
      <c r="A2" s="2" t="inlineStr">
        <is>
          <t>결과 화면에서 큰 용신 한자 아래에 들어갈 설명입니다. 용신 5가지에 대해 각각 작성해주세요.</t>
        </is>
      </c>
    </row>
    <row r="3">
      <c r="A3" s="18" t="inlineStr">
        <is>
          <t>채울 칸: 5행 × 3열 = 15칸 (노란색). 색·방위·계절은 기본값을 넣어뒀으니 필요하면 고쳐주세요.</t>
        </is>
      </c>
    </row>
    <row r="5" ht="26" customHeight="1">
      <c r="A5" s="4" t="inlineStr">
        <is>
          <t>용신</t>
        </is>
      </c>
      <c r="B5" s="4" t="inlineStr">
        <is>
          <t>한자</t>
        </is>
      </c>
      <c r="C5" s="4" t="inlineStr">
        <is>
          <t>구어 명칭</t>
        </is>
      </c>
      <c r="D5" s="4" t="inlineStr">
        <is>
          <t>✏️ 제목 (한 줄, 12자 내외)</t>
        </is>
      </c>
      <c r="E5" s="4" t="inlineStr">
        <is>
          <t>✏️ 설명 본문 (2~3문장)</t>
        </is>
      </c>
      <c r="F5" s="4" t="inlineStr">
        <is>
          <t>✏️ 키워드 (쉼표 구분, 3개)</t>
        </is>
      </c>
      <c r="G5" s="4" t="inlineStr">
        <is>
          <t>색</t>
        </is>
      </c>
      <c r="H5" s="4" t="inlineStr">
        <is>
          <t>방위</t>
        </is>
      </c>
      <c r="I5" s="4" t="inlineStr">
        <is>
          <t>계절</t>
        </is>
      </c>
    </row>
    <row r="6" ht="62" customHeight="1">
      <c r="A6" s="24" t="inlineStr">
        <is>
          <t>목</t>
        </is>
      </c>
      <c r="B6" s="25" t="inlineStr">
        <is>
          <t>木</t>
        </is>
      </c>
      <c r="C6" s="16" t="inlineStr">
        <is>
          <t>나무</t>
        </is>
      </c>
      <c r="D6" s="22" t="n"/>
      <c r="E6" s="22" t="n"/>
      <c r="F6" s="22" t="n"/>
      <c r="G6" s="16" t="inlineStr">
        <is>
          <t>청(靑)</t>
        </is>
      </c>
      <c r="H6" s="16" t="inlineStr">
        <is>
          <t>동(東)</t>
        </is>
      </c>
      <c r="I6" s="16" t="inlineStr">
        <is>
          <t>봄</t>
        </is>
      </c>
    </row>
    <row r="7" ht="62" customHeight="1">
      <c r="A7" s="24" t="inlineStr">
        <is>
          <t>화</t>
        </is>
      </c>
      <c r="B7" s="25" t="inlineStr">
        <is>
          <t>火</t>
        </is>
      </c>
      <c r="C7" s="16" t="inlineStr">
        <is>
          <t>불</t>
        </is>
      </c>
      <c r="D7" s="26" t="inlineStr">
        <is>
          <t>밝히고 데우는 불</t>
        </is>
      </c>
      <c r="E7" s="26" t="inlineStr">
        <is>
          <t>차게 식은 기운을 녹여 몸과 마음에 온기를 되돌려 줍니다. 표현이 살아나고 사람들 앞에 서는 일이 수월해집니다.</t>
        </is>
      </c>
      <c r="F7" s="26" t="inlineStr">
        <is>
          <t>명예, 표현, 열정</t>
        </is>
      </c>
      <c r="G7" s="16" t="inlineStr">
        <is>
          <t>적(赤)</t>
        </is>
      </c>
      <c r="H7" s="16" t="inlineStr">
        <is>
          <t>남(南)</t>
        </is>
      </c>
      <c r="I7" s="16" t="inlineStr">
        <is>
          <t>여름</t>
        </is>
      </c>
    </row>
    <row r="8" ht="62" customHeight="1">
      <c r="A8" s="24" t="inlineStr">
        <is>
          <t>토</t>
        </is>
      </c>
      <c r="B8" s="25" t="inlineStr">
        <is>
          <t>土</t>
        </is>
      </c>
      <c r="C8" s="16" t="inlineStr">
        <is>
          <t>땅</t>
        </is>
      </c>
      <c r="D8" s="22" t="n"/>
      <c r="E8" s="22" t="n"/>
      <c r="F8" s="22" t="n"/>
      <c r="G8" s="16" t="inlineStr">
        <is>
          <t>황(黃)</t>
        </is>
      </c>
      <c r="H8" s="16" t="inlineStr">
        <is>
          <t>중앙</t>
        </is>
      </c>
      <c r="I8" s="16" t="inlineStr">
        <is>
          <t>환절기</t>
        </is>
      </c>
    </row>
    <row r="9" ht="62" customHeight="1">
      <c r="A9" s="24" t="inlineStr">
        <is>
          <t>금</t>
        </is>
      </c>
      <c r="B9" s="25" t="inlineStr">
        <is>
          <t>金</t>
        </is>
      </c>
      <c r="C9" s="16" t="inlineStr">
        <is>
          <t>쇠</t>
        </is>
      </c>
      <c r="D9" s="22" t="n"/>
      <c r="E9" s="22" t="n"/>
      <c r="F9" s="22" t="n"/>
      <c r="G9" s="16" t="inlineStr">
        <is>
          <t>백(白)</t>
        </is>
      </c>
      <c r="H9" s="16" t="inlineStr">
        <is>
          <t>서(西)</t>
        </is>
      </c>
      <c r="I9" s="16" t="inlineStr">
        <is>
          <t>가을</t>
        </is>
      </c>
    </row>
    <row r="10" ht="62" customHeight="1">
      <c r="A10" s="24" t="inlineStr">
        <is>
          <t>수</t>
        </is>
      </c>
      <c r="B10" s="25" t="inlineStr">
        <is>
          <t>水</t>
        </is>
      </c>
      <c r="C10" s="16" t="inlineStr">
        <is>
          <t>물</t>
        </is>
      </c>
      <c r="D10" s="22" t="n"/>
      <c r="E10" s="22" t="n"/>
      <c r="F10" s="22" t="n"/>
      <c r="G10" s="16" t="inlineStr">
        <is>
          <t>흑(黑)</t>
        </is>
      </c>
      <c r="H10" s="16" t="inlineStr">
        <is>
          <t>북(北)</t>
        </is>
      </c>
      <c r="I10" s="16" t="inlineStr">
        <is>
          <t>겨울</t>
        </is>
      </c>
    </row>
    <row r="12">
      <c r="A12" s="27" t="inlineStr">
        <is>
          <t>※ 화(火) 행에 채워둔 값은 형식 안내용 예시입니다. 실제 문구로 바꿔주세요.</t>
        </is>
      </c>
    </row>
  </sheetData>
  <mergeCells count="1">
    <mergeCell ref="A12:I1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0" customWidth="1" min="4" max="4"/>
    <col width="9" customWidth="1" min="5" max="5"/>
    <col width="9" customWidth="1" min="6" max="6"/>
    <col width="9" customWidth="1" min="7" max="7"/>
    <col width="120" customWidth="1" min="8" max="8"/>
  </cols>
  <sheetData>
    <row r="1">
      <c r="A1" s="17" t="inlineStr">
        <is>
          <t>조합 미리보기 (45가지)</t>
        </is>
      </c>
    </row>
    <row r="2">
      <c r="A2" s="2" t="inlineStr">
        <is>
          <t>왼쪽 시트에 문구를 채우면 실제 손님이 보게 될 문장이 여기에 자동으로 조립됩니다. 어색한 조합이 없는지 확인해주세요.</t>
        </is>
      </c>
    </row>
    <row r="3">
      <c r="A3" s="2" t="inlineStr">
        <is>
          <t>※ 변수({용신}·{기신}·{희신})는 각 행의 오행으로 치환해 보여줍니다. 이 시트는 확인용이라 채울 칸이 없습니다.</t>
        </is>
      </c>
    </row>
    <row r="5" ht="26" customHeight="1">
      <c r="A5" s="4" t="inlineStr">
        <is>
          <t>#</t>
        </is>
      </c>
      <c r="B5" s="4" t="inlineStr">
        <is>
          <t>용신</t>
        </is>
      </c>
      <c r="C5" s="4" t="inlineStr">
        <is>
          <t>강약</t>
        </is>
      </c>
      <c r="D5" s="4" t="inlineStr">
        <is>
          <t>조후</t>
        </is>
      </c>
      <c r="E5" s="4" t="inlineStr">
        <is>
          <t>용신</t>
        </is>
      </c>
      <c r="F5" s="4" t="inlineStr">
        <is>
          <t>희신</t>
        </is>
      </c>
      <c r="G5" s="4" t="inlineStr">
        <is>
          <t>기신</t>
        </is>
      </c>
      <c r="H5" s="4" t="inlineStr">
        <is>
          <t>실제로 나가는 문장</t>
        </is>
      </c>
    </row>
    <row r="6" ht="44" customHeight="1">
      <c r="A6" s="8" t="n">
        <v>1</v>
      </c>
      <c r="B6" s="8" t="inlineStr">
        <is>
          <t>목(木)</t>
        </is>
      </c>
      <c r="C6" s="8" t="inlineStr">
        <is>
          <t>신강</t>
        </is>
      </c>
      <c r="D6" s="8" t="inlineStr">
        <is>
          <t>한(寒)</t>
        </is>
      </c>
      <c r="E6" s="16">
        <f>INDEX(작성안내!$C$37:$C$41,1)</f>
        <v/>
      </c>
      <c r="F6" s="16">
        <f>INDEX(작성안내!$C$37:$C$41,MATCH("수",작성안내!$A$37:$A$41,0))</f>
        <v/>
      </c>
      <c r="G6" s="16">
        <f>INDEX(작성안내!$C$37:$C$41,MATCH("금",작성안내!$A$37:$A$41,0))</f>
        <v/>
      </c>
      <c r="H6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"&amp;T(INDEX(D_부적처방!$D$6:$D$10,1)),"{용신}",$E6),"{희신}",$F6),"{기신}",$G6))="","(아직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"&amp;T(INDEX(D_부적처방!$D$6:$D$10,1)),"{용신}",$E6),"{희신}",$F6),"{기신}",$G6)))</f>
        <v/>
      </c>
    </row>
    <row r="7" ht="44" customHeight="1">
      <c r="A7" s="8" t="n">
        <v>2</v>
      </c>
      <c r="B7" s="8" t="inlineStr">
        <is>
          <t>목(木)</t>
        </is>
      </c>
      <c r="C7" s="8" t="inlineStr">
        <is>
          <t>신강</t>
        </is>
      </c>
      <c r="D7" s="8" t="inlineStr">
        <is>
          <t>열(熱)</t>
        </is>
      </c>
      <c r="E7" s="16">
        <f>INDEX(작성안내!$C$37:$C$41,1)</f>
        <v/>
      </c>
      <c r="F7" s="16">
        <f>INDEX(작성안내!$C$37:$C$41,MATCH("수",작성안내!$A$37:$A$41,0))</f>
        <v/>
      </c>
      <c r="G7" s="16">
        <f>INDEX(작성안내!$C$37:$C$41,MATCH("금",작성안내!$A$37:$A$41,0))</f>
        <v/>
      </c>
      <c r="H7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"&amp;T(INDEX(D_부적처방!$D$6:$D$10,1)),"{용신}",$E7),"{희신}",$F7),"{기신}",$G7))="","(아직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"&amp;T(INDEX(D_부적처방!$D$6:$D$10,1)),"{용신}",$E7),"{희신}",$F7),"{기신}",$G7)))</f>
        <v/>
      </c>
    </row>
    <row r="8" ht="44" customHeight="1">
      <c r="A8" s="8" t="n">
        <v>3</v>
      </c>
      <c r="B8" s="8" t="inlineStr">
        <is>
          <t>목(木)</t>
        </is>
      </c>
      <c r="C8" s="8" t="inlineStr">
        <is>
          <t>신강</t>
        </is>
      </c>
      <c r="D8" s="8" t="inlineStr">
        <is>
          <t>평(平)</t>
        </is>
      </c>
      <c r="E8" s="16">
        <f>INDEX(작성안내!$C$37:$C$41,1)</f>
        <v/>
      </c>
      <c r="F8" s="16">
        <f>INDEX(작성안내!$C$37:$C$41,MATCH("수",작성안내!$A$37:$A$41,0))</f>
        <v/>
      </c>
      <c r="G8" s="16">
        <f>INDEX(작성안내!$C$37:$C$41,MATCH("금",작성안내!$A$37:$A$41,0))</f>
        <v/>
      </c>
      <c r="H8" s="23">
        <f>IF(TRIM(SUBSTITUTE(SUBSTITUTE(SUBSTITUTE(T(INDEX(B_강약진단!$D$6:$D$8,MATCH("strong",B_강약진단!$A$6:$A$8,0)))&amp;" "&amp;T(INDEX(A_용신선언!$D$6:$D$8,MATCH("strong",A_용신선언!$A$6:$A$8,0)))&amp;" "&amp;T(INDEX(D_부적처방!$D$6:$D$10,1)),"{용신}",$E8),"{희신}",$F8),"{기신}",$G8))="","(아직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"&amp;T(INDEX(D_부적처방!$D$6:$D$10,1)),"{용신}",$E8),"{희신}",$F8),"{기신}",$G8)))</f>
        <v/>
      </c>
    </row>
    <row r="9" ht="44" customHeight="1">
      <c r="A9" s="8" t="n">
        <v>4</v>
      </c>
      <c r="B9" s="8" t="inlineStr">
        <is>
          <t>목(木)</t>
        </is>
      </c>
      <c r="C9" s="8" t="inlineStr">
        <is>
          <t>중화</t>
        </is>
      </c>
      <c r="D9" s="8" t="inlineStr">
        <is>
          <t>한(寒)</t>
        </is>
      </c>
      <c r="E9" s="16">
        <f>INDEX(작성안내!$C$37:$C$41,1)</f>
        <v/>
      </c>
      <c r="F9" s="16">
        <f>INDEX(작성안내!$C$37:$C$41,MATCH("수",작성안내!$A$37:$A$41,0))</f>
        <v/>
      </c>
      <c r="G9" s="16">
        <f>INDEX(작성안내!$C$37:$C$41,MATCH("금",작성안내!$A$37:$A$41,0))</f>
        <v/>
      </c>
      <c r="H9" s="23">
        <f>IF(TRIM(SUBSTITUTE(SUBSTITUTE(SUBSTITUTE(T(INDEX(B_강약진단!$D$6:$D$8,MATCH("mid",B_강약진단!$A$6:$A$8,0)))&amp;"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"&amp;T(INDEX(D_부적처방!$D$6:$D$10,1)),"{용신}",$E9),"{희신}",$F9),"{기신}",$G9))="","(아직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"&amp;T(INDEX(D_부적처방!$D$6:$D$10,1)),"{용신}",$E9),"{희신}",$F9),"{기신}",$G9)))</f>
        <v/>
      </c>
    </row>
    <row r="10" ht="44" customHeight="1">
      <c r="A10" s="8" t="n">
        <v>5</v>
      </c>
      <c r="B10" s="8" t="inlineStr">
        <is>
          <t>목(木)</t>
        </is>
      </c>
      <c r="C10" s="8" t="inlineStr">
        <is>
          <t>중화</t>
        </is>
      </c>
      <c r="D10" s="8" t="inlineStr">
        <is>
          <t>열(熱)</t>
        </is>
      </c>
      <c r="E10" s="16">
        <f>INDEX(작성안내!$C$37:$C$41,1)</f>
        <v/>
      </c>
      <c r="F10" s="16">
        <f>INDEX(작성안내!$C$37:$C$41,MATCH("수",작성안내!$A$37:$A$41,0))</f>
        <v/>
      </c>
      <c r="G10" s="16">
        <f>INDEX(작성안내!$C$37:$C$41,MATCH("금",작성안내!$A$37:$A$41,0))</f>
        <v/>
      </c>
      <c r="H10" s="23">
        <f>IF(TRIM(SUBSTITUTE(SUBSTITUTE(SUBSTITUTE(T(INDEX(B_강약진단!$D$6:$D$8,MATCH("mid",B_강약진단!$A$6:$A$8,0)))&amp;"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"&amp;T(INDEX(D_부적처방!$D$6:$D$10,1)),"{용신}",$E10),"{희신}",$F10),"{기신}",$G10))="","(아직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"&amp;T(INDEX(D_부적처방!$D$6:$D$10,1)),"{용신}",$E10),"{희신}",$F10),"{기신}",$G10)))</f>
        <v/>
      </c>
    </row>
    <row r="11" ht="44" customHeight="1">
      <c r="A11" s="8" t="n">
        <v>6</v>
      </c>
      <c r="B11" s="8" t="inlineStr">
        <is>
          <t>목(木)</t>
        </is>
      </c>
      <c r="C11" s="8" t="inlineStr">
        <is>
          <t>중화</t>
        </is>
      </c>
      <c r="D11" s="8" t="inlineStr">
        <is>
          <t>평(平)</t>
        </is>
      </c>
      <c r="E11" s="16">
        <f>INDEX(작성안내!$C$37:$C$41,1)</f>
        <v/>
      </c>
      <c r="F11" s="16">
        <f>INDEX(작성안내!$C$37:$C$41,MATCH("수",작성안내!$A$37:$A$41,0))</f>
        <v/>
      </c>
      <c r="G11" s="16">
        <f>INDEX(작성안내!$C$37:$C$41,MATCH("금",작성안내!$A$37:$A$41,0))</f>
        <v/>
      </c>
      <c r="H11" s="23">
        <f>IF(TRIM(SUBSTITUTE(SUBSTITUTE(SUBSTITUTE(T(INDEX(B_강약진단!$D$6:$D$8,MATCH("mid",B_강약진단!$A$6:$A$8,0)))&amp;" "&amp;T(INDEX(A_용신선언!$D$6:$D$8,MATCH("mid",A_용신선언!$A$6:$A$8,0)))&amp;" "&amp;T(INDEX(D_부적처방!$D$6:$D$10,1)),"{용신}",$E11),"{희신}",$F11),"{기신}",$G11))="","(아직 문구가 채워지지 않았습니다)",TRIM(SUBSTITUTE(SUBSTITUTE(SUBSTITUTE(T(INDEX(B_강약진단!$D$6:$D$8,MATCH("mid",B_강약진단!$A$6:$A$8,0)))&amp;" "&amp;T(INDEX(A_용신선언!$D$6:$D$8,MATCH("mid",A_용신선언!$A$6:$A$8,0)))&amp;" "&amp;T(INDEX(D_부적처방!$D$6:$D$10,1)),"{용신}",$E11),"{희신}",$F11),"{기신}",$G11)))</f>
        <v/>
      </c>
    </row>
    <row r="12" ht="44" customHeight="1">
      <c r="A12" s="8" t="n">
        <v>7</v>
      </c>
      <c r="B12" s="8" t="inlineStr">
        <is>
          <t>목(木)</t>
        </is>
      </c>
      <c r="C12" s="8" t="inlineStr">
        <is>
          <t>신약</t>
        </is>
      </c>
      <c r="D12" s="8" t="inlineStr">
        <is>
          <t>한(寒)</t>
        </is>
      </c>
      <c r="E12" s="16">
        <f>INDEX(작성안내!$C$37:$C$41,1)</f>
        <v/>
      </c>
      <c r="F12" s="16">
        <f>INDEX(작성안내!$C$37:$C$41,MATCH("수",작성안내!$A$37:$A$41,0))</f>
        <v/>
      </c>
      <c r="G12" s="16">
        <f>INDEX(작성안내!$C$37:$C$41,MATCH("금",작성안내!$A$37:$A$41,0))</f>
        <v/>
      </c>
      <c r="H12" s="23">
        <f>IF(TRIM(SUBSTITUTE(SUBSTITUTE(SUBSTITUTE(T(INDEX(B_강약진단!$D$6:$D$8,MATCH("weak",B_강약진단!$A$6:$A$8,0)))&amp;"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"&amp;T(INDEX(D_부적처방!$D$6:$D$10,1)),"{용신}",$E12),"{희신}",$F12),"{기신}",$G12))="","(아직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"&amp;T(INDEX(D_부적처방!$D$6:$D$10,1)),"{용신}",$E12),"{희신}",$F12),"{기신}",$G12)))</f>
        <v/>
      </c>
    </row>
    <row r="13" ht="44" customHeight="1">
      <c r="A13" s="8" t="n">
        <v>8</v>
      </c>
      <c r="B13" s="8" t="inlineStr">
        <is>
          <t>목(木)</t>
        </is>
      </c>
      <c r="C13" s="8" t="inlineStr">
        <is>
          <t>신약</t>
        </is>
      </c>
      <c r="D13" s="8" t="inlineStr">
        <is>
          <t>열(熱)</t>
        </is>
      </c>
      <c r="E13" s="16">
        <f>INDEX(작성안내!$C$37:$C$41,1)</f>
        <v/>
      </c>
      <c r="F13" s="16">
        <f>INDEX(작성안내!$C$37:$C$41,MATCH("수",작성안내!$A$37:$A$41,0))</f>
        <v/>
      </c>
      <c r="G13" s="16">
        <f>INDEX(작성안내!$C$37:$C$41,MATCH("금",작성안내!$A$37:$A$41,0))</f>
        <v/>
      </c>
      <c r="H13" s="23">
        <f>IF(TRIM(SUBSTITUTE(SUBSTITUTE(SUBSTITUTE(T(INDEX(B_강약진단!$D$6:$D$8,MATCH("weak",B_강약진단!$A$6:$A$8,0)))&amp;"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"&amp;T(INDEX(D_부적처방!$D$6:$D$10,1)),"{용신}",$E13),"{희신}",$F13),"{기신}",$G13))="","(아직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"&amp;T(INDEX(D_부적처방!$D$6:$D$10,1)),"{용신}",$E13),"{희신}",$F13),"{기신}",$G13)))</f>
        <v/>
      </c>
    </row>
    <row r="14" ht="44" customHeight="1">
      <c r="A14" s="8" t="n">
        <v>9</v>
      </c>
      <c r="B14" s="8" t="inlineStr">
        <is>
          <t>목(木)</t>
        </is>
      </c>
      <c r="C14" s="8" t="inlineStr">
        <is>
          <t>신약</t>
        </is>
      </c>
      <c r="D14" s="8" t="inlineStr">
        <is>
          <t>평(平)</t>
        </is>
      </c>
      <c r="E14" s="16">
        <f>INDEX(작성안내!$C$37:$C$41,1)</f>
        <v/>
      </c>
      <c r="F14" s="16">
        <f>INDEX(작성안내!$C$37:$C$41,MATCH("수",작성안내!$A$37:$A$41,0))</f>
        <v/>
      </c>
      <c r="G14" s="16">
        <f>INDEX(작성안내!$C$37:$C$41,MATCH("금",작성안내!$A$37:$A$41,0))</f>
        <v/>
      </c>
      <c r="H14" s="23">
        <f>IF(TRIM(SUBSTITUTE(SUBSTITUTE(SUBSTITUTE(T(INDEX(B_강약진단!$D$6:$D$8,MATCH("weak",B_강약진단!$A$6:$A$8,0)))&amp;" "&amp;T(INDEX(A_용신선언!$D$6:$D$8,MATCH("weak",A_용신선언!$A$6:$A$8,0)))&amp;" "&amp;T(INDEX(D_부적처방!$D$6:$D$10,1)),"{용신}",$E14),"{희신}",$F14),"{기신}",$G14))="","(아직 문구가 채워지지 않았습니다)",TRIM(SUBSTITUTE(SUBSTITUTE(SUBSTITUTE(T(INDEX(B_강약진단!$D$6:$D$8,MATCH("weak",B_강약진단!$A$6:$A$8,0)))&amp;" "&amp;T(INDEX(A_용신선언!$D$6:$D$8,MATCH("weak",A_용신선언!$A$6:$A$8,0)))&amp;" "&amp;T(INDEX(D_부적처방!$D$6:$D$10,1)),"{용신}",$E14),"{희신}",$F14),"{기신}",$G14)))</f>
        <v/>
      </c>
    </row>
    <row r="15" ht="44" customHeight="1">
      <c r="A15" s="8" t="n">
        <v>10</v>
      </c>
      <c r="B15" s="8" t="inlineStr">
        <is>
          <t>화(火)</t>
        </is>
      </c>
      <c r="C15" s="8" t="inlineStr">
        <is>
          <t>신강</t>
        </is>
      </c>
      <c r="D15" s="8" t="inlineStr">
        <is>
          <t>한(寒)</t>
        </is>
      </c>
      <c r="E15" s="16">
        <f>INDEX(작성안내!$C$37:$C$41,2)</f>
        <v/>
      </c>
      <c r="F15" s="16">
        <f>INDEX(작성안내!$C$37:$C$41,MATCH("목",작성안내!$A$37:$A$41,0))</f>
        <v/>
      </c>
      <c r="G15" s="16">
        <f>INDEX(작성안내!$C$37:$C$41,MATCH("수",작성안내!$A$37:$A$41,0))</f>
        <v/>
      </c>
      <c r="H15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"&amp;T(INDEX(D_부적처방!$D$6:$D$10,2)),"{용신}",$E15),"{희신}",$F15),"{기신}",$G15))="","(아직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"&amp;T(INDEX(D_부적처방!$D$6:$D$10,2)),"{용신}",$E15),"{희신}",$F15),"{기신}",$G15)))</f>
        <v/>
      </c>
    </row>
    <row r="16" ht="44" customHeight="1">
      <c r="A16" s="8" t="n">
        <v>11</v>
      </c>
      <c r="B16" s="8" t="inlineStr">
        <is>
          <t>화(火)</t>
        </is>
      </c>
      <c r="C16" s="8" t="inlineStr">
        <is>
          <t>신강</t>
        </is>
      </c>
      <c r="D16" s="8" t="inlineStr">
        <is>
          <t>열(熱)</t>
        </is>
      </c>
      <c r="E16" s="16">
        <f>INDEX(작성안내!$C$37:$C$41,2)</f>
        <v/>
      </c>
      <c r="F16" s="16">
        <f>INDEX(작성안내!$C$37:$C$41,MATCH("목",작성안내!$A$37:$A$41,0))</f>
        <v/>
      </c>
      <c r="G16" s="16">
        <f>INDEX(작성안내!$C$37:$C$41,MATCH("수",작성안내!$A$37:$A$41,0))</f>
        <v/>
      </c>
      <c r="H16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"&amp;T(INDEX(D_부적처방!$D$6:$D$10,2)),"{용신}",$E16),"{희신}",$F16),"{기신}",$G16))="","(아직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"&amp;T(INDEX(D_부적처방!$D$6:$D$10,2)),"{용신}",$E16),"{희신}",$F16),"{기신}",$G16)))</f>
        <v/>
      </c>
    </row>
    <row r="17" ht="44" customHeight="1">
      <c r="A17" s="8" t="n">
        <v>12</v>
      </c>
      <c r="B17" s="8" t="inlineStr">
        <is>
          <t>화(火)</t>
        </is>
      </c>
      <c r="C17" s="8" t="inlineStr">
        <is>
          <t>신강</t>
        </is>
      </c>
      <c r="D17" s="8" t="inlineStr">
        <is>
          <t>평(平)</t>
        </is>
      </c>
      <c r="E17" s="16">
        <f>INDEX(작성안내!$C$37:$C$41,2)</f>
        <v/>
      </c>
      <c r="F17" s="16">
        <f>INDEX(작성안내!$C$37:$C$41,MATCH("목",작성안내!$A$37:$A$41,0))</f>
        <v/>
      </c>
      <c r="G17" s="16">
        <f>INDEX(작성안내!$C$37:$C$41,MATCH("수",작성안내!$A$37:$A$41,0))</f>
        <v/>
      </c>
      <c r="H17" s="23">
        <f>IF(TRIM(SUBSTITUTE(SUBSTITUTE(SUBSTITUTE(T(INDEX(B_강약진단!$D$6:$D$8,MATCH("strong",B_강약진단!$A$6:$A$8,0)))&amp;" "&amp;T(INDEX(A_용신선언!$D$6:$D$8,MATCH("strong",A_용신선언!$A$6:$A$8,0)))&amp;" "&amp;T(INDEX(D_부적처방!$D$6:$D$10,2)),"{용신}",$E17),"{희신}",$F17),"{기신}",$G17))="","(아직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"&amp;T(INDEX(D_부적처방!$D$6:$D$10,2)),"{용신}",$E17),"{희신}",$F17),"{기신}",$G17)))</f>
        <v/>
      </c>
    </row>
    <row r="18" ht="44" customHeight="1">
      <c r="A18" s="8" t="n">
        <v>13</v>
      </c>
      <c r="B18" s="8" t="inlineStr">
        <is>
          <t>화(火)</t>
        </is>
      </c>
      <c r="C18" s="8" t="inlineStr">
        <is>
          <t>중화</t>
        </is>
      </c>
      <c r="D18" s="8" t="inlineStr">
        <is>
          <t>한(寒)</t>
        </is>
      </c>
      <c r="E18" s="16">
        <f>INDEX(작성안내!$C$37:$C$41,2)</f>
        <v/>
      </c>
      <c r="F18" s="16">
        <f>INDEX(작성안내!$C$37:$C$41,MATCH("목",작성안내!$A$37:$A$41,0))</f>
        <v/>
      </c>
      <c r="G18" s="16">
        <f>INDEX(작성안내!$C$37:$C$41,MATCH("수",작성안내!$A$37:$A$41,0))</f>
        <v/>
      </c>
      <c r="H18" s="23">
        <f>IF(TRIM(SUBSTITUTE(SUBSTITUTE(SUBSTITUTE(T(INDEX(B_강약진단!$D$6:$D$8,MATCH("mid",B_강약진단!$A$6:$A$8,0)))&amp;"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"&amp;T(INDEX(D_부적처방!$D$6:$D$10,2)),"{용신}",$E18),"{희신}",$F18),"{기신}",$G18))="","(아직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"&amp;T(INDEX(D_부적처방!$D$6:$D$10,2)),"{용신}",$E18),"{희신}",$F18),"{기신}",$G18)))</f>
        <v/>
      </c>
    </row>
    <row r="19" ht="44" customHeight="1">
      <c r="A19" s="8" t="n">
        <v>14</v>
      </c>
      <c r="B19" s="8" t="inlineStr">
        <is>
          <t>화(火)</t>
        </is>
      </c>
      <c r="C19" s="8" t="inlineStr">
        <is>
          <t>중화</t>
        </is>
      </c>
      <c r="D19" s="8" t="inlineStr">
        <is>
          <t>열(熱)</t>
        </is>
      </c>
      <c r="E19" s="16">
        <f>INDEX(작성안내!$C$37:$C$41,2)</f>
        <v/>
      </c>
      <c r="F19" s="16">
        <f>INDEX(작성안내!$C$37:$C$41,MATCH("목",작성안내!$A$37:$A$41,0))</f>
        <v/>
      </c>
      <c r="G19" s="16">
        <f>INDEX(작성안내!$C$37:$C$41,MATCH("수",작성안내!$A$37:$A$41,0))</f>
        <v/>
      </c>
      <c r="H19" s="23">
        <f>IF(TRIM(SUBSTITUTE(SUBSTITUTE(SUBSTITUTE(T(INDEX(B_강약진단!$D$6:$D$8,MATCH("mid",B_강약진단!$A$6:$A$8,0)))&amp;"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"&amp;T(INDEX(D_부적처방!$D$6:$D$10,2)),"{용신}",$E19),"{희신}",$F19),"{기신}",$G19))="","(아직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"&amp;T(INDEX(D_부적처방!$D$6:$D$10,2)),"{용신}",$E19),"{희신}",$F19),"{기신}",$G19)))</f>
        <v/>
      </c>
    </row>
    <row r="20" ht="44" customHeight="1">
      <c r="A20" s="8" t="n">
        <v>15</v>
      </c>
      <c r="B20" s="8" t="inlineStr">
        <is>
          <t>화(火)</t>
        </is>
      </c>
      <c r="C20" s="8" t="inlineStr">
        <is>
          <t>중화</t>
        </is>
      </c>
      <c r="D20" s="8" t="inlineStr">
        <is>
          <t>평(平)</t>
        </is>
      </c>
      <c r="E20" s="16">
        <f>INDEX(작성안내!$C$37:$C$41,2)</f>
        <v/>
      </c>
      <c r="F20" s="16">
        <f>INDEX(작성안내!$C$37:$C$41,MATCH("목",작성안내!$A$37:$A$41,0))</f>
        <v/>
      </c>
      <c r="G20" s="16">
        <f>INDEX(작성안내!$C$37:$C$41,MATCH("수",작성안내!$A$37:$A$41,0))</f>
        <v/>
      </c>
      <c r="H20" s="23">
        <f>IF(TRIM(SUBSTITUTE(SUBSTITUTE(SUBSTITUTE(T(INDEX(B_강약진단!$D$6:$D$8,MATCH("mid",B_강약진단!$A$6:$A$8,0)))&amp;" "&amp;T(INDEX(A_용신선언!$D$6:$D$8,MATCH("mid",A_용신선언!$A$6:$A$8,0)))&amp;" "&amp;T(INDEX(D_부적처방!$D$6:$D$10,2)),"{용신}",$E20),"{희신}",$F20),"{기신}",$G20))="","(아직 문구가 채워지지 않았습니다)",TRIM(SUBSTITUTE(SUBSTITUTE(SUBSTITUTE(T(INDEX(B_강약진단!$D$6:$D$8,MATCH("mid",B_강약진단!$A$6:$A$8,0)))&amp;" "&amp;T(INDEX(A_용신선언!$D$6:$D$8,MATCH("mid",A_용신선언!$A$6:$A$8,0)))&amp;" "&amp;T(INDEX(D_부적처방!$D$6:$D$10,2)),"{용신}",$E20),"{희신}",$F20),"{기신}",$G20)))</f>
        <v/>
      </c>
    </row>
    <row r="21" ht="44" customHeight="1">
      <c r="A21" s="8" t="n">
        <v>16</v>
      </c>
      <c r="B21" s="8" t="inlineStr">
        <is>
          <t>화(火)</t>
        </is>
      </c>
      <c r="C21" s="8" t="inlineStr">
        <is>
          <t>신약</t>
        </is>
      </c>
      <c r="D21" s="8" t="inlineStr">
        <is>
          <t>한(寒)</t>
        </is>
      </c>
      <c r="E21" s="16">
        <f>INDEX(작성안내!$C$37:$C$41,2)</f>
        <v/>
      </c>
      <c r="F21" s="16">
        <f>INDEX(작성안내!$C$37:$C$41,MATCH("목",작성안내!$A$37:$A$41,0))</f>
        <v/>
      </c>
      <c r="G21" s="16">
        <f>INDEX(작성안내!$C$37:$C$41,MATCH("수",작성안내!$A$37:$A$41,0))</f>
        <v/>
      </c>
      <c r="H21" s="23">
        <f>IF(TRIM(SUBSTITUTE(SUBSTITUTE(SUBSTITUTE(T(INDEX(B_강약진단!$D$6:$D$8,MATCH("weak",B_강약진단!$A$6:$A$8,0)))&amp;"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"&amp;T(INDEX(D_부적처방!$D$6:$D$10,2)),"{용신}",$E21),"{희신}",$F21),"{기신}",$G21))="","(아직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"&amp;T(INDEX(D_부적처방!$D$6:$D$10,2)),"{용신}",$E21),"{희신}",$F21),"{기신}",$G21)))</f>
        <v/>
      </c>
    </row>
    <row r="22" ht="44" customHeight="1">
      <c r="A22" s="8" t="n">
        <v>17</v>
      </c>
      <c r="B22" s="8" t="inlineStr">
        <is>
          <t>화(火)</t>
        </is>
      </c>
      <c r="C22" s="8" t="inlineStr">
        <is>
          <t>신약</t>
        </is>
      </c>
      <c r="D22" s="8" t="inlineStr">
        <is>
          <t>열(熱)</t>
        </is>
      </c>
      <c r="E22" s="16">
        <f>INDEX(작성안내!$C$37:$C$41,2)</f>
        <v/>
      </c>
      <c r="F22" s="16">
        <f>INDEX(작성안내!$C$37:$C$41,MATCH("목",작성안내!$A$37:$A$41,0))</f>
        <v/>
      </c>
      <c r="G22" s="16">
        <f>INDEX(작성안내!$C$37:$C$41,MATCH("수",작성안내!$A$37:$A$41,0))</f>
        <v/>
      </c>
      <c r="H22" s="23">
        <f>IF(TRIM(SUBSTITUTE(SUBSTITUTE(SUBSTITUTE(T(INDEX(B_강약진단!$D$6:$D$8,MATCH("weak",B_강약진단!$A$6:$A$8,0)))&amp;"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"&amp;T(INDEX(D_부적처방!$D$6:$D$10,2)),"{용신}",$E22),"{희신}",$F22),"{기신}",$G22))="","(아직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"&amp;T(INDEX(D_부적처방!$D$6:$D$10,2)),"{용신}",$E22),"{희신}",$F22),"{기신}",$G22)))</f>
        <v/>
      </c>
    </row>
    <row r="23" ht="44" customHeight="1">
      <c r="A23" s="8" t="n">
        <v>18</v>
      </c>
      <c r="B23" s="8" t="inlineStr">
        <is>
          <t>화(火)</t>
        </is>
      </c>
      <c r="C23" s="8" t="inlineStr">
        <is>
          <t>신약</t>
        </is>
      </c>
      <c r="D23" s="8" t="inlineStr">
        <is>
          <t>평(平)</t>
        </is>
      </c>
      <c r="E23" s="16">
        <f>INDEX(작성안내!$C$37:$C$41,2)</f>
        <v/>
      </c>
      <c r="F23" s="16">
        <f>INDEX(작성안내!$C$37:$C$41,MATCH("목",작성안내!$A$37:$A$41,0))</f>
        <v/>
      </c>
      <c r="G23" s="16">
        <f>INDEX(작성안내!$C$37:$C$41,MATCH("수",작성안내!$A$37:$A$41,0))</f>
        <v/>
      </c>
      <c r="H23" s="23">
        <f>IF(TRIM(SUBSTITUTE(SUBSTITUTE(SUBSTITUTE(T(INDEX(B_강약진단!$D$6:$D$8,MATCH("weak",B_강약진단!$A$6:$A$8,0)))&amp;" "&amp;T(INDEX(A_용신선언!$D$6:$D$8,MATCH("weak",A_용신선언!$A$6:$A$8,0)))&amp;" "&amp;T(INDEX(D_부적처방!$D$6:$D$10,2)),"{용신}",$E23),"{희신}",$F23),"{기신}",$G23))="","(아직 문구가 채워지지 않았습니다)",TRIM(SUBSTITUTE(SUBSTITUTE(SUBSTITUTE(T(INDEX(B_강약진단!$D$6:$D$8,MATCH("weak",B_강약진단!$A$6:$A$8,0)))&amp;" "&amp;T(INDEX(A_용신선언!$D$6:$D$8,MATCH("weak",A_용신선언!$A$6:$A$8,0)))&amp;" "&amp;T(INDEX(D_부적처방!$D$6:$D$10,2)),"{용신}",$E23),"{희신}",$F23),"{기신}",$G23)))</f>
        <v/>
      </c>
    </row>
    <row r="24" ht="44" customHeight="1">
      <c r="A24" s="8" t="n">
        <v>19</v>
      </c>
      <c r="B24" s="8" t="inlineStr">
        <is>
          <t>토(土)</t>
        </is>
      </c>
      <c r="C24" s="8" t="inlineStr">
        <is>
          <t>신강</t>
        </is>
      </c>
      <c r="D24" s="8" t="inlineStr">
        <is>
          <t>한(寒)</t>
        </is>
      </c>
      <c r="E24" s="16">
        <f>INDEX(작성안내!$C$37:$C$41,3)</f>
        <v/>
      </c>
      <c r="F24" s="16">
        <f>INDEX(작성안내!$C$37:$C$41,MATCH("화",작성안내!$A$37:$A$41,0))</f>
        <v/>
      </c>
      <c r="G24" s="16">
        <f>INDEX(작성안내!$C$37:$C$41,MATCH("목",작성안내!$A$37:$A$41,0))</f>
        <v/>
      </c>
      <c r="H24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"&amp;T(INDEX(D_부적처방!$D$6:$D$10,3)),"{용신}",$E24),"{희신}",$F24),"{기신}",$G24))="","(아직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"&amp;T(INDEX(D_부적처방!$D$6:$D$10,3)),"{용신}",$E24),"{희신}",$F24),"{기신}",$G24)))</f>
        <v/>
      </c>
    </row>
    <row r="25" ht="44" customHeight="1">
      <c r="A25" s="8" t="n">
        <v>20</v>
      </c>
      <c r="B25" s="8" t="inlineStr">
        <is>
          <t>토(土)</t>
        </is>
      </c>
      <c r="C25" s="8" t="inlineStr">
        <is>
          <t>신강</t>
        </is>
      </c>
      <c r="D25" s="8" t="inlineStr">
        <is>
          <t>열(熱)</t>
        </is>
      </c>
      <c r="E25" s="16">
        <f>INDEX(작성안내!$C$37:$C$41,3)</f>
        <v/>
      </c>
      <c r="F25" s="16">
        <f>INDEX(작성안내!$C$37:$C$41,MATCH("화",작성안내!$A$37:$A$41,0))</f>
        <v/>
      </c>
      <c r="G25" s="16">
        <f>INDEX(작성안내!$C$37:$C$41,MATCH("목",작성안내!$A$37:$A$41,0))</f>
        <v/>
      </c>
      <c r="H25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"&amp;T(INDEX(D_부적처방!$D$6:$D$10,3)),"{용신}",$E25),"{희신}",$F25),"{기신}",$G25))="","(아직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"&amp;T(INDEX(D_부적처방!$D$6:$D$10,3)),"{용신}",$E25),"{희신}",$F25),"{기신}",$G25)))</f>
        <v/>
      </c>
    </row>
    <row r="26" ht="44" customHeight="1">
      <c r="A26" s="8" t="n">
        <v>21</v>
      </c>
      <c r="B26" s="8" t="inlineStr">
        <is>
          <t>토(土)</t>
        </is>
      </c>
      <c r="C26" s="8" t="inlineStr">
        <is>
          <t>신강</t>
        </is>
      </c>
      <c r="D26" s="8" t="inlineStr">
        <is>
          <t>평(平)</t>
        </is>
      </c>
      <c r="E26" s="16">
        <f>INDEX(작성안내!$C$37:$C$41,3)</f>
        <v/>
      </c>
      <c r="F26" s="16">
        <f>INDEX(작성안내!$C$37:$C$41,MATCH("화",작성안내!$A$37:$A$41,0))</f>
        <v/>
      </c>
      <c r="G26" s="16">
        <f>INDEX(작성안내!$C$37:$C$41,MATCH("목",작성안내!$A$37:$A$41,0))</f>
        <v/>
      </c>
      <c r="H26" s="23">
        <f>IF(TRIM(SUBSTITUTE(SUBSTITUTE(SUBSTITUTE(T(INDEX(B_강약진단!$D$6:$D$8,MATCH("strong",B_강약진단!$A$6:$A$8,0)))&amp;" "&amp;T(INDEX(A_용신선언!$D$6:$D$8,MATCH("strong",A_용신선언!$A$6:$A$8,0)))&amp;" "&amp;T(INDEX(D_부적처방!$D$6:$D$10,3)),"{용신}",$E26),"{희신}",$F26),"{기신}",$G26))="","(아직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"&amp;T(INDEX(D_부적처방!$D$6:$D$10,3)),"{용신}",$E26),"{희신}",$F26),"{기신}",$G26)))</f>
        <v/>
      </c>
    </row>
    <row r="27" ht="44" customHeight="1">
      <c r="A27" s="8" t="n">
        <v>22</v>
      </c>
      <c r="B27" s="8" t="inlineStr">
        <is>
          <t>토(土)</t>
        </is>
      </c>
      <c r="C27" s="8" t="inlineStr">
        <is>
          <t>중화</t>
        </is>
      </c>
      <c r="D27" s="8" t="inlineStr">
        <is>
          <t>한(寒)</t>
        </is>
      </c>
      <c r="E27" s="16">
        <f>INDEX(작성안내!$C$37:$C$41,3)</f>
        <v/>
      </c>
      <c r="F27" s="16">
        <f>INDEX(작성안내!$C$37:$C$41,MATCH("화",작성안내!$A$37:$A$41,0))</f>
        <v/>
      </c>
      <c r="G27" s="16">
        <f>INDEX(작성안내!$C$37:$C$41,MATCH("목",작성안내!$A$37:$A$41,0))</f>
        <v/>
      </c>
      <c r="H27" s="23">
        <f>IF(TRIM(SUBSTITUTE(SUBSTITUTE(SUBSTITUTE(T(INDEX(B_강약진단!$D$6:$D$8,MATCH("mid",B_강약진단!$A$6:$A$8,0)))&amp;"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"&amp;T(INDEX(D_부적처방!$D$6:$D$10,3)),"{용신}",$E27),"{희신}",$F27),"{기신}",$G27))="","(아직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"&amp;T(INDEX(D_부적처방!$D$6:$D$10,3)),"{용신}",$E27),"{희신}",$F27),"{기신}",$G27)))</f>
        <v/>
      </c>
    </row>
    <row r="28" ht="44" customHeight="1">
      <c r="A28" s="8" t="n">
        <v>23</v>
      </c>
      <c r="B28" s="8" t="inlineStr">
        <is>
          <t>토(土)</t>
        </is>
      </c>
      <c r="C28" s="8" t="inlineStr">
        <is>
          <t>중화</t>
        </is>
      </c>
      <c r="D28" s="8" t="inlineStr">
        <is>
          <t>열(熱)</t>
        </is>
      </c>
      <c r="E28" s="16">
        <f>INDEX(작성안내!$C$37:$C$41,3)</f>
        <v/>
      </c>
      <c r="F28" s="16">
        <f>INDEX(작성안내!$C$37:$C$41,MATCH("화",작성안내!$A$37:$A$41,0))</f>
        <v/>
      </c>
      <c r="G28" s="16">
        <f>INDEX(작성안내!$C$37:$C$41,MATCH("목",작성안내!$A$37:$A$41,0))</f>
        <v/>
      </c>
      <c r="H28" s="23">
        <f>IF(TRIM(SUBSTITUTE(SUBSTITUTE(SUBSTITUTE(T(INDEX(B_강약진단!$D$6:$D$8,MATCH("mid",B_강약진단!$A$6:$A$8,0)))&amp;"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"&amp;T(INDEX(D_부적처방!$D$6:$D$10,3)),"{용신}",$E28),"{희신}",$F28),"{기신}",$G28))="","(아직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"&amp;T(INDEX(D_부적처방!$D$6:$D$10,3)),"{용신}",$E28),"{희신}",$F28),"{기신}",$G28)))</f>
        <v/>
      </c>
    </row>
    <row r="29" ht="44" customHeight="1">
      <c r="A29" s="8" t="n">
        <v>24</v>
      </c>
      <c r="B29" s="8" t="inlineStr">
        <is>
          <t>토(土)</t>
        </is>
      </c>
      <c r="C29" s="8" t="inlineStr">
        <is>
          <t>중화</t>
        </is>
      </c>
      <c r="D29" s="8" t="inlineStr">
        <is>
          <t>평(平)</t>
        </is>
      </c>
      <c r="E29" s="16">
        <f>INDEX(작성안내!$C$37:$C$41,3)</f>
        <v/>
      </c>
      <c r="F29" s="16">
        <f>INDEX(작성안내!$C$37:$C$41,MATCH("화",작성안내!$A$37:$A$41,0))</f>
        <v/>
      </c>
      <c r="G29" s="16">
        <f>INDEX(작성안내!$C$37:$C$41,MATCH("목",작성안내!$A$37:$A$41,0))</f>
        <v/>
      </c>
      <c r="H29" s="23">
        <f>IF(TRIM(SUBSTITUTE(SUBSTITUTE(SUBSTITUTE(T(INDEX(B_강약진단!$D$6:$D$8,MATCH("mid",B_강약진단!$A$6:$A$8,0)))&amp;" "&amp;T(INDEX(A_용신선언!$D$6:$D$8,MATCH("mid",A_용신선언!$A$6:$A$8,0)))&amp;" "&amp;T(INDEX(D_부적처방!$D$6:$D$10,3)),"{용신}",$E29),"{희신}",$F29),"{기신}",$G29))="","(아직 문구가 채워지지 않았습니다)",TRIM(SUBSTITUTE(SUBSTITUTE(SUBSTITUTE(T(INDEX(B_강약진단!$D$6:$D$8,MATCH("mid",B_강약진단!$A$6:$A$8,0)))&amp;" "&amp;T(INDEX(A_용신선언!$D$6:$D$8,MATCH("mid",A_용신선언!$A$6:$A$8,0)))&amp;" "&amp;T(INDEX(D_부적처방!$D$6:$D$10,3)),"{용신}",$E29),"{희신}",$F29),"{기신}",$G29)))</f>
        <v/>
      </c>
    </row>
    <row r="30" ht="44" customHeight="1">
      <c r="A30" s="8" t="n">
        <v>25</v>
      </c>
      <c r="B30" s="8" t="inlineStr">
        <is>
          <t>토(土)</t>
        </is>
      </c>
      <c r="C30" s="8" t="inlineStr">
        <is>
          <t>신약</t>
        </is>
      </c>
      <c r="D30" s="8" t="inlineStr">
        <is>
          <t>한(寒)</t>
        </is>
      </c>
      <c r="E30" s="16">
        <f>INDEX(작성안내!$C$37:$C$41,3)</f>
        <v/>
      </c>
      <c r="F30" s="16">
        <f>INDEX(작성안내!$C$37:$C$41,MATCH("화",작성안내!$A$37:$A$41,0))</f>
        <v/>
      </c>
      <c r="G30" s="16">
        <f>INDEX(작성안내!$C$37:$C$41,MATCH("목",작성안내!$A$37:$A$41,0))</f>
        <v/>
      </c>
      <c r="H30" s="23">
        <f>IF(TRIM(SUBSTITUTE(SUBSTITUTE(SUBSTITUTE(T(INDEX(B_강약진단!$D$6:$D$8,MATCH("weak",B_강약진단!$A$6:$A$8,0)))&amp;"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"&amp;T(INDEX(D_부적처방!$D$6:$D$10,3)),"{용신}",$E30),"{희신}",$F30),"{기신}",$G30))="","(아직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"&amp;T(INDEX(D_부적처방!$D$6:$D$10,3)),"{용신}",$E30),"{희신}",$F30),"{기신}",$G30)))</f>
        <v/>
      </c>
    </row>
    <row r="31" ht="44" customHeight="1">
      <c r="A31" s="8" t="n">
        <v>26</v>
      </c>
      <c r="B31" s="8" t="inlineStr">
        <is>
          <t>토(土)</t>
        </is>
      </c>
      <c r="C31" s="8" t="inlineStr">
        <is>
          <t>신약</t>
        </is>
      </c>
      <c r="D31" s="8" t="inlineStr">
        <is>
          <t>열(熱)</t>
        </is>
      </c>
      <c r="E31" s="16">
        <f>INDEX(작성안내!$C$37:$C$41,3)</f>
        <v/>
      </c>
      <c r="F31" s="16">
        <f>INDEX(작성안내!$C$37:$C$41,MATCH("화",작성안내!$A$37:$A$41,0))</f>
        <v/>
      </c>
      <c r="G31" s="16">
        <f>INDEX(작성안내!$C$37:$C$41,MATCH("목",작성안내!$A$37:$A$41,0))</f>
        <v/>
      </c>
      <c r="H31" s="23">
        <f>IF(TRIM(SUBSTITUTE(SUBSTITUTE(SUBSTITUTE(T(INDEX(B_강약진단!$D$6:$D$8,MATCH("weak",B_강약진단!$A$6:$A$8,0)))&amp;"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"&amp;T(INDEX(D_부적처방!$D$6:$D$10,3)),"{용신}",$E31),"{희신}",$F31),"{기신}",$G31))="","(아직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"&amp;T(INDEX(D_부적처방!$D$6:$D$10,3)),"{용신}",$E31),"{희신}",$F31),"{기신}",$G31)))</f>
        <v/>
      </c>
    </row>
    <row r="32" ht="44" customHeight="1">
      <c r="A32" s="8" t="n">
        <v>27</v>
      </c>
      <c r="B32" s="8" t="inlineStr">
        <is>
          <t>토(土)</t>
        </is>
      </c>
      <c r="C32" s="8" t="inlineStr">
        <is>
          <t>신약</t>
        </is>
      </c>
      <c r="D32" s="8" t="inlineStr">
        <is>
          <t>평(平)</t>
        </is>
      </c>
      <c r="E32" s="16">
        <f>INDEX(작성안내!$C$37:$C$41,3)</f>
        <v/>
      </c>
      <c r="F32" s="16">
        <f>INDEX(작성안내!$C$37:$C$41,MATCH("화",작성안내!$A$37:$A$41,0))</f>
        <v/>
      </c>
      <c r="G32" s="16">
        <f>INDEX(작성안내!$C$37:$C$41,MATCH("목",작성안내!$A$37:$A$41,0))</f>
        <v/>
      </c>
      <c r="H32" s="23">
        <f>IF(TRIM(SUBSTITUTE(SUBSTITUTE(SUBSTITUTE(T(INDEX(B_강약진단!$D$6:$D$8,MATCH("weak",B_강약진단!$A$6:$A$8,0)))&amp;" "&amp;T(INDEX(A_용신선언!$D$6:$D$8,MATCH("weak",A_용신선언!$A$6:$A$8,0)))&amp;" "&amp;T(INDEX(D_부적처방!$D$6:$D$10,3)),"{용신}",$E32),"{희신}",$F32),"{기신}",$G32))="","(아직 문구가 채워지지 않았습니다)",TRIM(SUBSTITUTE(SUBSTITUTE(SUBSTITUTE(T(INDEX(B_강약진단!$D$6:$D$8,MATCH("weak",B_강약진단!$A$6:$A$8,0)))&amp;" "&amp;T(INDEX(A_용신선언!$D$6:$D$8,MATCH("weak",A_용신선언!$A$6:$A$8,0)))&amp;" "&amp;T(INDEX(D_부적처방!$D$6:$D$10,3)),"{용신}",$E32),"{희신}",$F32),"{기신}",$G32)))</f>
        <v/>
      </c>
    </row>
    <row r="33" ht="44" customHeight="1">
      <c r="A33" s="8" t="n">
        <v>28</v>
      </c>
      <c r="B33" s="8" t="inlineStr">
        <is>
          <t>금(金)</t>
        </is>
      </c>
      <c r="C33" s="8" t="inlineStr">
        <is>
          <t>신강</t>
        </is>
      </c>
      <c r="D33" s="8" t="inlineStr">
        <is>
          <t>한(寒)</t>
        </is>
      </c>
      <c r="E33" s="16">
        <f>INDEX(작성안내!$C$37:$C$41,4)</f>
        <v/>
      </c>
      <c r="F33" s="16">
        <f>INDEX(작성안내!$C$37:$C$41,MATCH("토",작성안내!$A$37:$A$41,0))</f>
        <v/>
      </c>
      <c r="G33" s="16">
        <f>INDEX(작성안내!$C$37:$C$41,MATCH("화",작성안내!$A$37:$A$41,0))</f>
        <v/>
      </c>
      <c r="H33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"&amp;T(INDEX(D_부적처방!$D$6:$D$10,4)),"{용신}",$E33),"{희신}",$F33),"{기신}",$G33))="","(아직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"&amp;T(INDEX(D_부적처방!$D$6:$D$10,4)),"{용신}",$E33),"{희신}",$F33),"{기신}",$G33)))</f>
        <v/>
      </c>
    </row>
    <row r="34" ht="44" customHeight="1">
      <c r="A34" s="8" t="n">
        <v>29</v>
      </c>
      <c r="B34" s="8" t="inlineStr">
        <is>
          <t>금(金)</t>
        </is>
      </c>
      <c r="C34" s="8" t="inlineStr">
        <is>
          <t>신강</t>
        </is>
      </c>
      <c r="D34" s="8" t="inlineStr">
        <is>
          <t>열(熱)</t>
        </is>
      </c>
      <c r="E34" s="16">
        <f>INDEX(작성안내!$C$37:$C$41,4)</f>
        <v/>
      </c>
      <c r="F34" s="16">
        <f>INDEX(작성안내!$C$37:$C$41,MATCH("토",작성안내!$A$37:$A$41,0))</f>
        <v/>
      </c>
      <c r="G34" s="16">
        <f>INDEX(작성안내!$C$37:$C$41,MATCH("화",작성안내!$A$37:$A$41,0))</f>
        <v/>
      </c>
      <c r="H34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"&amp;T(INDEX(D_부적처방!$D$6:$D$10,4)),"{용신}",$E34),"{희신}",$F34),"{기신}",$G34))="","(아직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"&amp;T(INDEX(D_부적처방!$D$6:$D$10,4)),"{용신}",$E34),"{희신}",$F34),"{기신}",$G34)))</f>
        <v/>
      </c>
    </row>
    <row r="35" ht="44" customHeight="1">
      <c r="A35" s="8" t="n">
        <v>30</v>
      </c>
      <c r="B35" s="8" t="inlineStr">
        <is>
          <t>금(金)</t>
        </is>
      </c>
      <c r="C35" s="8" t="inlineStr">
        <is>
          <t>신강</t>
        </is>
      </c>
      <c r="D35" s="8" t="inlineStr">
        <is>
          <t>평(平)</t>
        </is>
      </c>
      <c r="E35" s="16">
        <f>INDEX(작성안내!$C$37:$C$41,4)</f>
        <v/>
      </c>
      <c r="F35" s="16">
        <f>INDEX(작성안내!$C$37:$C$41,MATCH("토",작성안내!$A$37:$A$41,0))</f>
        <v/>
      </c>
      <c r="G35" s="16">
        <f>INDEX(작성안내!$C$37:$C$41,MATCH("화",작성안내!$A$37:$A$41,0))</f>
        <v/>
      </c>
      <c r="H35" s="23">
        <f>IF(TRIM(SUBSTITUTE(SUBSTITUTE(SUBSTITUTE(T(INDEX(B_강약진단!$D$6:$D$8,MATCH("strong",B_강약진단!$A$6:$A$8,0)))&amp;" "&amp;T(INDEX(A_용신선언!$D$6:$D$8,MATCH("strong",A_용신선언!$A$6:$A$8,0)))&amp;" "&amp;T(INDEX(D_부적처방!$D$6:$D$10,4)),"{용신}",$E35),"{희신}",$F35),"{기신}",$G35))="","(아직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"&amp;T(INDEX(D_부적처방!$D$6:$D$10,4)),"{용신}",$E35),"{희신}",$F35),"{기신}",$G35)))</f>
        <v/>
      </c>
    </row>
    <row r="36" ht="44" customHeight="1">
      <c r="A36" s="8" t="n">
        <v>31</v>
      </c>
      <c r="B36" s="8" t="inlineStr">
        <is>
          <t>금(金)</t>
        </is>
      </c>
      <c r="C36" s="8" t="inlineStr">
        <is>
          <t>중화</t>
        </is>
      </c>
      <c r="D36" s="8" t="inlineStr">
        <is>
          <t>한(寒)</t>
        </is>
      </c>
      <c r="E36" s="16">
        <f>INDEX(작성안내!$C$37:$C$41,4)</f>
        <v/>
      </c>
      <c r="F36" s="16">
        <f>INDEX(작성안내!$C$37:$C$41,MATCH("토",작성안내!$A$37:$A$41,0))</f>
        <v/>
      </c>
      <c r="G36" s="16">
        <f>INDEX(작성안내!$C$37:$C$41,MATCH("화",작성안내!$A$37:$A$41,0))</f>
        <v/>
      </c>
      <c r="H36" s="23">
        <f>IF(TRIM(SUBSTITUTE(SUBSTITUTE(SUBSTITUTE(T(INDEX(B_강약진단!$D$6:$D$8,MATCH("mid",B_강약진단!$A$6:$A$8,0)))&amp;"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"&amp;T(INDEX(D_부적처방!$D$6:$D$10,4)),"{용신}",$E36),"{희신}",$F36),"{기신}",$G36))="","(아직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"&amp;T(INDEX(D_부적처방!$D$6:$D$10,4)),"{용신}",$E36),"{희신}",$F36),"{기신}",$G36)))</f>
        <v/>
      </c>
    </row>
    <row r="37" ht="44" customHeight="1">
      <c r="A37" s="8" t="n">
        <v>32</v>
      </c>
      <c r="B37" s="8" t="inlineStr">
        <is>
          <t>금(金)</t>
        </is>
      </c>
      <c r="C37" s="8" t="inlineStr">
        <is>
          <t>중화</t>
        </is>
      </c>
      <c r="D37" s="8" t="inlineStr">
        <is>
          <t>열(熱)</t>
        </is>
      </c>
      <c r="E37" s="16">
        <f>INDEX(작성안내!$C$37:$C$41,4)</f>
        <v/>
      </c>
      <c r="F37" s="16">
        <f>INDEX(작성안내!$C$37:$C$41,MATCH("토",작성안내!$A$37:$A$41,0))</f>
        <v/>
      </c>
      <c r="G37" s="16">
        <f>INDEX(작성안내!$C$37:$C$41,MATCH("화",작성안내!$A$37:$A$41,0))</f>
        <v/>
      </c>
      <c r="H37" s="23">
        <f>IF(TRIM(SUBSTITUTE(SUBSTITUTE(SUBSTITUTE(T(INDEX(B_강약진단!$D$6:$D$8,MATCH("mid",B_강약진단!$A$6:$A$8,0)))&amp;"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"&amp;T(INDEX(D_부적처방!$D$6:$D$10,4)),"{용신}",$E37),"{희신}",$F37),"{기신}",$G37))="","(아직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"&amp;T(INDEX(D_부적처방!$D$6:$D$10,4)),"{용신}",$E37),"{희신}",$F37),"{기신}",$G37)))</f>
        <v/>
      </c>
    </row>
    <row r="38" ht="44" customHeight="1">
      <c r="A38" s="8" t="n">
        <v>33</v>
      </c>
      <c r="B38" s="8" t="inlineStr">
        <is>
          <t>금(金)</t>
        </is>
      </c>
      <c r="C38" s="8" t="inlineStr">
        <is>
          <t>중화</t>
        </is>
      </c>
      <c r="D38" s="8" t="inlineStr">
        <is>
          <t>평(平)</t>
        </is>
      </c>
      <c r="E38" s="16">
        <f>INDEX(작성안내!$C$37:$C$41,4)</f>
        <v/>
      </c>
      <c r="F38" s="16">
        <f>INDEX(작성안내!$C$37:$C$41,MATCH("토",작성안내!$A$37:$A$41,0))</f>
        <v/>
      </c>
      <c r="G38" s="16">
        <f>INDEX(작성안내!$C$37:$C$41,MATCH("화",작성안내!$A$37:$A$41,0))</f>
        <v/>
      </c>
      <c r="H38" s="23">
        <f>IF(TRIM(SUBSTITUTE(SUBSTITUTE(SUBSTITUTE(T(INDEX(B_강약진단!$D$6:$D$8,MATCH("mid",B_강약진단!$A$6:$A$8,0)))&amp;" "&amp;T(INDEX(A_용신선언!$D$6:$D$8,MATCH("mid",A_용신선언!$A$6:$A$8,0)))&amp;" "&amp;T(INDEX(D_부적처방!$D$6:$D$10,4)),"{용신}",$E38),"{희신}",$F38),"{기신}",$G38))="","(아직 문구가 채워지지 않았습니다)",TRIM(SUBSTITUTE(SUBSTITUTE(SUBSTITUTE(T(INDEX(B_강약진단!$D$6:$D$8,MATCH("mid",B_강약진단!$A$6:$A$8,0)))&amp;" "&amp;T(INDEX(A_용신선언!$D$6:$D$8,MATCH("mid",A_용신선언!$A$6:$A$8,0)))&amp;" "&amp;T(INDEX(D_부적처방!$D$6:$D$10,4)),"{용신}",$E38),"{희신}",$F38),"{기신}",$G38)))</f>
        <v/>
      </c>
    </row>
    <row r="39" ht="44" customHeight="1">
      <c r="A39" s="8" t="n">
        <v>34</v>
      </c>
      <c r="B39" s="8" t="inlineStr">
        <is>
          <t>금(金)</t>
        </is>
      </c>
      <c r="C39" s="8" t="inlineStr">
        <is>
          <t>신약</t>
        </is>
      </c>
      <c r="D39" s="8" t="inlineStr">
        <is>
          <t>한(寒)</t>
        </is>
      </c>
      <c r="E39" s="16">
        <f>INDEX(작성안내!$C$37:$C$41,4)</f>
        <v/>
      </c>
      <c r="F39" s="16">
        <f>INDEX(작성안내!$C$37:$C$41,MATCH("토",작성안내!$A$37:$A$41,0))</f>
        <v/>
      </c>
      <c r="G39" s="16">
        <f>INDEX(작성안내!$C$37:$C$41,MATCH("화",작성안내!$A$37:$A$41,0))</f>
        <v/>
      </c>
      <c r="H39" s="23">
        <f>IF(TRIM(SUBSTITUTE(SUBSTITUTE(SUBSTITUTE(T(INDEX(B_강약진단!$D$6:$D$8,MATCH("weak",B_강약진단!$A$6:$A$8,0)))&amp;"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"&amp;T(INDEX(D_부적처방!$D$6:$D$10,4)),"{용신}",$E39),"{희신}",$F39),"{기신}",$G39))="","(아직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"&amp;T(INDEX(D_부적처방!$D$6:$D$10,4)),"{용신}",$E39),"{희신}",$F39),"{기신}",$G39)))</f>
        <v/>
      </c>
    </row>
    <row r="40" ht="44" customHeight="1">
      <c r="A40" s="8" t="n">
        <v>35</v>
      </c>
      <c r="B40" s="8" t="inlineStr">
        <is>
          <t>금(金)</t>
        </is>
      </c>
      <c r="C40" s="8" t="inlineStr">
        <is>
          <t>신약</t>
        </is>
      </c>
      <c r="D40" s="8" t="inlineStr">
        <is>
          <t>열(熱)</t>
        </is>
      </c>
      <c r="E40" s="16">
        <f>INDEX(작성안내!$C$37:$C$41,4)</f>
        <v/>
      </c>
      <c r="F40" s="16">
        <f>INDEX(작성안내!$C$37:$C$41,MATCH("토",작성안내!$A$37:$A$41,0))</f>
        <v/>
      </c>
      <c r="G40" s="16">
        <f>INDEX(작성안내!$C$37:$C$41,MATCH("화",작성안내!$A$37:$A$41,0))</f>
        <v/>
      </c>
      <c r="H40" s="23">
        <f>IF(TRIM(SUBSTITUTE(SUBSTITUTE(SUBSTITUTE(T(INDEX(B_강약진단!$D$6:$D$8,MATCH("weak",B_강약진단!$A$6:$A$8,0)))&amp;"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"&amp;T(INDEX(D_부적처방!$D$6:$D$10,4)),"{용신}",$E40),"{희신}",$F40),"{기신}",$G40))="","(아직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"&amp;T(INDEX(D_부적처방!$D$6:$D$10,4)),"{용신}",$E40),"{희신}",$F40),"{기신}",$G40)))</f>
        <v/>
      </c>
    </row>
    <row r="41" ht="44" customHeight="1">
      <c r="A41" s="8" t="n">
        <v>36</v>
      </c>
      <c r="B41" s="8" t="inlineStr">
        <is>
          <t>금(金)</t>
        </is>
      </c>
      <c r="C41" s="8" t="inlineStr">
        <is>
          <t>신약</t>
        </is>
      </c>
      <c r="D41" s="8" t="inlineStr">
        <is>
          <t>평(平)</t>
        </is>
      </c>
      <c r="E41" s="16">
        <f>INDEX(작성안내!$C$37:$C$41,4)</f>
        <v/>
      </c>
      <c r="F41" s="16">
        <f>INDEX(작성안내!$C$37:$C$41,MATCH("토",작성안내!$A$37:$A$41,0))</f>
        <v/>
      </c>
      <c r="G41" s="16">
        <f>INDEX(작성안내!$C$37:$C$41,MATCH("화",작성안내!$A$37:$A$41,0))</f>
        <v/>
      </c>
      <c r="H41" s="23">
        <f>IF(TRIM(SUBSTITUTE(SUBSTITUTE(SUBSTITUTE(T(INDEX(B_강약진단!$D$6:$D$8,MATCH("weak",B_강약진단!$A$6:$A$8,0)))&amp;" "&amp;T(INDEX(A_용신선언!$D$6:$D$8,MATCH("weak",A_용신선언!$A$6:$A$8,0)))&amp;" "&amp;T(INDEX(D_부적처방!$D$6:$D$10,4)),"{용신}",$E41),"{희신}",$F41),"{기신}",$G41))="","(아직 문구가 채워지지 않았습니다)",TRIM(SUBSTITUTE(SUBSTITUTE(SUBSTITUTE(T(INDEX(B_강약진단!$D$6:$D$8,MATCH("weak",B_강약진단!$A$6:$A$8,0)))&amp;" "&amp;T(INDEX(A_용신선언!$D$6:$D$8,MATCH("weak",A_용신선언!$A$6:$A$8,0)))&amp;" "&amp;T(INDEX(D_부적처방!$D$6:$D$10,4)),"{용신}",$E41),"{희신}",$F41),"{기신}",$G41)))</f>
        <v/>
      </c>
    </row>
    <row r="42" ht="44" customHeight="1">
      <c r="A42" s="8" t="n">
        <v>37</v>
      </c>
      <c r="B42" s="8" t="inlineStr">
        <is>
          <t>수(水)</t>
        </is>
      </c>
      <c r="C42" s="8" t="inlineStr">
        <is>
          <t>신강</t>
        </is>
      </c>
      <c r="D42" s="8" t="inlineStr">
        <is>
          <t>한(寒)</t>
        </is>
      </c>
      <c r="E42" s="16">
        <f>INDEX(작성안내!$C$37:$C$41,5)</f>
        <v/>
      </c>
      <c r="F42" s="16">
        <f>INDEX(작성안내!$C$37:$C$41,MATCH("금",작성안내!$A$37:$A$41,0))</f>
        <v/>
      </c>
      <c r="G42" s="16">
        <f>INDEX(작성안내!$C$37:$C$41,MATCH("토",작성안내!$A$37:$A$41,0))</f>
        <v/>
      </c>
      <c r="H42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"&amp;T(INDEX(D_부적처방!$D$6:$D$10,5)),"{용신}",$E42),"{희신}",$F42),"{기신}",$G42))="","(아직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"&amp;T(INDEX(C_조후보정!$D$6:$D$7,MATCH("cold",C_조후보정!$A$6:$A$7,0)))&amp;" "&amp;T(INDEX(D_부적처방!$D$6:$D$10,5)),"{용신}",$E42),"{희신}",$F42),"{기신}",$G42)))</f>
        <v/>
      </c>
    </row>
    <row r="43" ht="44" customHeight="1">
      <c r="A43" s="8" t="n">
        <v>38</v>
      </c>
      <c r="B43" s="8" t="inlineStr">
        <is>
          <t>수(水)</t>
        </is>
      </c>
      <c r="C43" s="8" t="inlineStr">
        <is>
          <t>신강</t>
        </is>
      </c>
      <c r="D43" s="8" t="inlineStr">
        <is>
          <t>열(熱)</t>
        </is>
      </c>
      <c r="E43" s="16">
        <f>INDEX(작성안내!$C$37:$C$41,5)</f>
        <v/>
      </c>
      <c r="F43" s="16">
        <f>INDEX(작성안내!$C$37:$C$41,MATCH("금",작성안내!$A$37:$A$41,0))</f>
        <v/>
      </c>
      <c r="G43" s="16">
        <f>INDEX(작성안내!$C$37:$C$41,MATCH("토",작성안내!$A$37:$A$41,0))</f>
        <v/>
      </c>
      <c r="H43" s="23">
        <f>IF(TRIM(SUBSTITUTE(SUBSTITUTE(SUBSTITUTE(T(INDEX(B_강약진단!$D$6:$D$8,MATCH("strong",B_강약진단!$A$6:$A$8,0)))&amp;"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"&amp;T(INDEX(D_부적처방!$D$6:$D$10,5)),"{용신}",$E43),"{희신}",$F43),"{기신}",$G43))="","(아직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"&amp;T(INDEX(C_조후보정!$D$6:$D$7,MATCH("hot",C_조후보정!$A$6:$A$7,0)))&amp;" "&amp;T(INDEX(D_부적처방!$D$6:$D$10,5)),"{용신}",$E43),"{희신}",$F43),"{기신}",$G43)))</f>
        <v/>
      </c>
    </row>
    <row r="44" ht="44" customHeight="1">
      <c r="A44" s="8" t="n">
        <v>39</v>
      </c>
      <c r="B44" s="8" t="inlineStr">
        <is>
          <t>수(水)</t>
        </is>
      </c>
      <c r="C44" s="8" t="inlineStr">
        <is>
          <t>신강</t>
        </is>
      </c>
      <c r="D44" s="8" t="inlineStr">
        <is>
          <t>평(平)</t>
        </is>
      </c>
      <c r="E44" s="16">
        <f>INDEX(작성안내!$C$37:$C$41,5)</f>
        <v/>
      </c>
      <c r="F44" s="16">
        <f>INDEX(작성안내!$C$37:$C$41,MATCH("금",작성안내!$A$37:$A$41,0))</f>
        <v/>
      </c>
      <c r="G44" s="16">
        <f>INDEX(작성안내!$C$37:$C$41,MATCH("토",작성안내!$A$37:$A$41,0))</f>
        <v/>
      </c>
      <c r="H44" s="23">
        <f>IF(TRIM(SUBSTITUTE(SUBSTITUTE(SUBSTITUTE(T(INDEX(B_강약진단!$D$6:$D$8,MATCH("strong",B_강약진단!$A$6:$A$8,0)))&amp;" "&amp;T(INDEX(A_용신선언!$D$6:$D$8,MATCH("strong",A_용신선언!$A$6:$A$8,0)))&amp;" "&amp;T(INDEX(D_부적처방!$D$6:$D$10,5)),"{용신}",$E44),"{희신}",$F44),"{기신}",$G44))="","(아직 문구가 채워지지 않았습니다)",TRIM(SUBSTITUTE(SUBSTITUTE(SUBSTITUTE(T(INDEX(B_강약진단!$D$6:$D$8,MATCH("strong",B_강약진단!$A$6:$A$8,0)))&amp;" "&amp;T(INDEX(A_용신선언!$D$6:$D$8,MATCH("strong",A_용신선언!$A$6:$A$8,0)))&amp;" "&amp;T(INDEX(D_부적처방!$D$6:$D$10,5)),"{용신}",$E44),"{희신}",$F44),"{기신}",$G44)))</f>
        <v/>
      </c>
    </row>
    <row r="45" ht="44" customHeight="1">
      <c r="A45" s="8" t="n">
        <v>40</v>
      </c>
      <c r="B45" s="8" t="inlineStr">
        <is>
          <t>수(水)</t>
        </is>
      </c>
      <c r="C45" s="8" t="inlineStr">
        <is>
          <t>중화</t>
        </is>
      </c>
      <c r="D45" s="8" t="inlineStr">
        <is>
          <t>한(寒)</t>
        </is>
      </c>
      <c r="E45" s="16">
        <f>INDEX(작성안내!$C$37:$C$41,5)</f>
        <v/>
      </c>
      <c r="F45" s="16">
        <f>INDEX(작성안내!$C$37:$C$41,MATCH("금",작성안내!$A$37:$A$41,0))</f>
        <v/>
      </c>
      <c r="G45" s="16">
        <f>INDEX(작성안내!$C$37:$C$41,MATCH("토",작성안내!$A$37:$A$41,0))</f>
        <v/>
      </c>
      <c r="H45" s="23">
        <f>IF(TRIM(SUBSTITUTE(SUBSTITUTE(SUBSTITUTE(T(INDEX(B_강약진단!$D$6:$D$8,MATCH("mid",B_강약진단!$A$6:$A$8,0)))&amp;"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"&amp;T(INDEX(D_부적처방!$D$6:$D$10,5)),"{용신}",$E45),"{희신}",$F45),"{기신}",$G45))="","(아직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"&amp;T(INDEX(C_조후보정!$D$6:$D$7,MATCH("cold",C_조후보정!$A$6:$A$7,0)))&amp;" "&amp;T(INDEX(D_부적처방!$D$6:$D$10,5)),"{용신}",$E45),"{희신}",$F45),"{기신}",$G45)))</f>
        <v/>
      </c>
    </row>
    <row r="46" ht="44" customHeight="1">
      <c r="A46" s="8" t="n">
        <v>41</v>
      </c>
      <c r="B46" s="8" t="inlineStr">
        <is>
          <t>수(水)</t>
        </is>
      </c>
      <c r="C46" s="8" t="inlineStr">
        <is>
          <t>중화</t>
        </is>
      </c>
      <c r="D46" s="8" t="inlineStr">
        <is>
          <t>열(熱)</t>
        </is>
      </c>
      <c r="E46" s="16">
        <f>INDEX(작성안내!$C$37:$C$41,5)</f>
        <v/>
      </c>
      <c r="F46" s="16">
        <f>INDEX(작성안내!$C$37:$C$41,MATCH("금",작성안내!$A$37:$A$41,0))</f>
        <v/>
      </c>
      <c r="G46" s="16">
        <f>INDEX(작성안내!$C$37:$C$41,MATCH("토",작성안내!$A$37:$A$41,0))</f>
        <v/>
      </c>
      <c r="H46" s="23">
        <f>IF(TRIM(SUBSTITUTE(SUBSTITUTE(SUBSTITUTE(T(INDEX(B_강약진단!$D$6:$D$8,MATCH("mid",B_강약진단!$A$6:$A$8,0)))&amp;"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"&amp;T(INDEX(D_부적처방!$D$6:$D$10,5)),"{용신}",$E46),"{희신}",$F46),"{기신}",$G46))="","(아직 문구가 채워지지 않았습니다)",TRIM(SUBSTITUTE(SUBSTITUTE(SUBSTITUTE(T(INDEX(B_강약진단!$D$6:$D$8,MATCH("mid",B_강약진단!$A$6:$A$8,0)))&amp;" "&amp;T(INDEX(A_용신선언!$D$6:$D$8,MATCH("mid",A_용신선언!$A$6:$A$8,0)))&amp;" "&amp;T(INDEX(C_조후보정!$D$6:$D$7,MATCH("hot",C_조후보정!$A$6:$A$7,0)))&amp;" "&amp;T(INDEX(D_부적처방!$D$6:$D$10,5)),"{용신}",$E46),"{희신}",$F46),"{기신}",$G46)))</f>
        <v/>
      </c>
    </row>
    <row r="47" ht="44" customHeight="1">
      <c r="A47" s="8" t="n">
        <v>42</v>
      </c>
      <c r="B47" s="8" t="inlineStr">
        <is>
          <t>수(水)</t>
        </is>
      </c>
      <c r="C47" s="8" t="inlineStr">
        <is>
          <t>중화</t>
        </is>
      </c>
      <c r="D47" s="8" t="inlineStr">
        <is>
          <t>평(平)</t>
        </is>
      </c>
      <c r="E47" s="16">
        <f>INDEX(작성안내!$C$37:$C$41,5)</f>
        <v/>
      </c>
      <c r="F47" s="16">
        <f>INDEX(작성안내!$C$37:$C$41,MATCH("금",작성안내!$A$37:$A$41,0))</f>
        <v/>
      </c>
      <c r="G47" s="16">
        <f>INDEX(작성안내!$C$37:$C$41,MATCH("토",작성안내!$A$37:$A$41,0))</f>
        <v/>
      </c>
      <c r="H47" s="23">
        <f>IF(TRIM(SUBSTITUTE(SUBSTITUTE(SUBSTITUTE(T(INDEX(B_강약진단!$D$6:$D$8,MATCH("mid",B_강약진단!$A$6:$A$8,0)))&amp;" "&amp;T(INDEX(A_용신선언!$D$6:$D$8,MATCH("mid",A_용신선언!$A$6:$A$8,0)))&amp;" "&amp;T(INDEX(D_부적처방!$D$6:$D$10,5)),"{용신}",$E47),"{희신}",$F47),"{기신}",$G47))="","(아직 문구가 채워지지 않았습니다)",TRIM(SUBSTITUTE(SUBSTITUTE(SUBSTITUTE(T(INDEX(B_강약진단!$D$6:$D$8,MATCH("mid",B_강약진단!$A$6:$A$8,0)))&amp;" "&amp;T(INDEX(A_용신선언!$D$6:$D$8,MATCH("mid",A_용신선언!$A$6:$A$8,0)))&amp;" "&amp;T(INDEX(D_부적처방!$D$6:$D$10,5)),"{용신}",$E47),"{희신}",$F47),"{기신}",$G47)))</f>
        <v/>
      </c>
    </row>
    <row r="48" ht="44" customHeight="1">
      <c r="A48" s="8" t="n">
        <v>43</v>
      </c>
      <c r="B48" s="8" t="inlineStr">
        <is>
          <t>수(水)</t>
        </is>
      </c>
      <c r="C48" s="8" t="inlineStr">
        <is>
          <t>신약</t>
        </is>
      </c>
      <c r="D48" s="8" t="inlineStr">
        <is>
          <t>한(寒)</t>
        </is>
      </c>
      <c r="E48" s="16">
        <f>INDEX(작성안내!$C$37:$C$41,5)</f>
        <v/>
      </c>
      <c r="F48" s="16">
        <f>INDEX(작성안내!$C$37:$C$41,MATCH("금",작성안내!$A$37:$A$41,0))</f>
        <v/>
      </c>
      <c r="G48" s="16">
        <f>INDEX(작성안내!$C$37:$C$41,MATCH("토",작성안내!$A$37:$A$41,0))</f>
        <v/>
      </c>
      <c r="H48" s="23">
        <f>IF(TRIM(SUBSTITUTE(SUBSTITUTE(SUBSTITUTE(T(INDEX(B_강약진단!$D$6:$D$8,MATCH("weak",B_강약진단!$A$6:$A$8,0)))&amp;"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"&amp;T(INDEX(D_부적처방!$D$6:$D$10,5)),"{용신}",$E48),"{희신}",$F48),"{기신}",$G48))="","(아직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"&amp;T(INDEX(C_조후보정!$D$6:$D$7,MATCH("cold",C_조후보정!$A$6:$A$7,0)))&amp;" "&amp;T(INDEX(D_부적처방!$D$6:$D$10,5)),"{용신}",$E48),"{희신}",$F48),"{기신}",$G48)))</f>
        <v/>
      </c>
    </row>
    <row r="49" ht="44" customHeight="1">
      <c r="A49" s="8" t="n">
        <v>44</v>
      </c>
      <c r="B49" s="8" t="inlineStr">
        <is>
          <t>수(水)</t>
        </is>
      </c>
      <c r="C49" s="8" t="inlineStr">
        <is>
          <t>신약</t>
        </is>
      </c>
      <c r="D49" s="8" t="inlineStr">
        <is>
          <t>열(熱)</t>
        </is>
      </c>
      <c r="E49" s="16">
        <f>INDEX(작성안내!$C$37:$C$41,5)</f>
        <v/>
      </c>
      <c r="F49" s="16">
        <f>INDEX(작성안내!$C$37:$C$41,MATCH("금",작성안내!$A$37:$A$41,0))</f>
        <v/>
      </c>
      <c r="G49" s="16">
        <f>INDEX(작성안내!$C$37:$C$41,MATCH("토",작성안내!$A$37:$A$41,0))</f>
        <v/>
      </c>
      <c r="H49" s="23">
        <f>IF(TRIM(SUBSTITUTE(SUBSTITUTE(SUBSTITUTE(T(INDEX(B_강약진단!$D$6:$D$8,MATCH("weak",B_강약진단!$A$6:$A$8,0)))&amp;"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"&amp;T(INDEX(D_부적처방!$D$6:$D$10,5)),"{용신}",$E49),"{희신}",$F49),"{기신}",$G49))="","(아직 문구가 채워지지 않았습니다)",TRIM(SUBSTITUTE(SUBSTITUTE(SUBSTITUTE(T(INDEX(B_강약진단!$D$6:$D$8,MATCH("weak",B_강약진단!$A$6:$A$8,0)))&amp;" "&amp;T(INDEX(A_용신선언!$D$6:$D$8,MATCH("weak",A_용신선언!$A$6:$A$8,0)))&amp;" "&amp;T(INDEX(C_조후보정!$D$6:$D$7,MATCH("hot",C_조후보정!$A$6:$A$7,0)))&amp;" "&amp;T(INDEX(D_부적처방!$D$6:$D$10,5)),"{용신}",$E49),"{희신}",$F49),"{기신}",$G49)))</f>
        <v/>
      </c>
    </row>
    <row r="50" ht="44" customHeight="1">
      <c r="A50" s="8" t="n">
        <v>45</v>
      </c>
      <c r="B50" s="8" t="inlineStr">
        <is>
          <t>수(水)</t>
        </is>
      </c>
      <c r="C50" s="8" t="inlineStr">
        <is>
          <t>신약</t>
        </is>
      </c>
      <c r="D50" s="8" t="inlineStr">
        <is>
          <t>평(平)</t>
        </is>
      </c>
      <c r="E50" s="16">
        <f>INDEX(작성안내!$C$37:$C$41,5)</f>
        <v/>
      </c>
      <c r="F50" s="16">
        <f>INDEX(작성안내!$C$37:$C$41,MATCH("금",작성안내!$A$37:$A$41,0))</f>
        <v/>
      </c>
      <c r="G50" s="16">
        <f>INDEX(작성안내!$C$37:$C$41,MATCH("토",작성안내!$A$37:$A$41,0))</f>
        <v/>
      </c>
      <c r="H50" s="23">
        <f>IF(TRIM(SUBSTITUTE(SUBSTITUTE(SUBSTITUTE(T(INDEX(B_강약진단!$D$6:$D$8,MATCH("weak",B_강약진단!$A$6:$A$8,0)))&amp;" "&amp;T(INDEX(A_용신선언!$D$6:$D$8,MATCH("weak",A_용신선언!$A$6:$A$8,0)))&amp;" "&amp;T(INDEX(D_부적처방!$D$6:$D$10,5)),"{용신}",$E50),"{희신}",$F50),"{기신}",$G50))="","(아직 문구가 채워지지 않았습니다)",TRIM(SUBSTITUTE(SUBSTITUTE(SUBSTITUTE(T(INDEX(B_강약진단!$D$6:$D$8,MATCH("weak",B_강약진단!$A$6:$A$8,0)))&amp;" "&amp;T(INDEX(A_용신선언!$D$6:$D$8,MATCH("weak",A_용신선언!$A$6:$A$8,0)))&amp;" "&amp;T(INDEX(D_부적처방!$D$6:$D$10,5)),"{용신}",$E50),"{희신}",$F50),"{기신}",$G50)))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2026-08-14T08:49:37Z</dcterms:created>
  <dcterms:modified xsi:type="dcterms:W3CDTF">2026-08-14T08:49:37Z</dcterms:modified>
</cp:coreProperties>
</file>